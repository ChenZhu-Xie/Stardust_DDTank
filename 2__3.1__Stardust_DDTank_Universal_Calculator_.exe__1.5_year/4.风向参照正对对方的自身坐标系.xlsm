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D:\C2D\Desktop\Code\EPL\Stardust_DDTank\2__3.1__Stardust_DDTank_Universal_Calculator_.exe__1.5_year\"/>
    </mc:Choice>
  </mc:AlternateContent>
  <xr:revisionPtr revIDLastSave="0" documentId="13_ncr:1_{BD8978BB-A7E5-42C4-8EF1-8AAF73209571}" xr6:coauthVersionLast="47" xr6:coauthVersionMax="47" xr10:uidLastSave="{00000000-0000-0000-0000-000000000000}"/>
  <bookViews>
    <workbookView xWindow="-110" yWindow="-110" windowWidth="38620" windowHeight="21100" activeTab="1" xr2:uid="{00000000-000D-0000-FFFF-FFFF00000000}"/>
  </bookViews>
  <sheets>
    <sheet name="不可更改v0的kv算法 (2)" sheetId="5" r:id="rId1"/>
    <sheet name="不可更改v0的kv算法 (3)" sheetId="6" r:id="rId2"/>
  </sheets>
  <functionGroups builtInGroupCount="19"/>
  <definedNames>
    <definedName name="_xleta.TAN" hidden="1" xlm="1">#NAME?</definedName>
  </definedNames>
  <calcPr calcId="191029" iterateCount="1000" iterateDelta="1E-1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25" i="6" l="1"/>
  <c r="AO26" i="6"/>
  <c r="AO27" i="6"/>
  <c r="AO28" i="6"/>
  <c r="AO29" i="6"/>
  <c r="AO30" i="6"/>
  <c r="AO31" i="6"/>
  <c r="AO32" i="6"/>
  <c r="AO33" i="6"/>
  <c r="AO34" i="6"/>
  <c r="AO35" i="6"/>
  <c r="AO36" i="6"/>
  <c r="AO37" i="6"/>
  <c r="AO38" i="6"/>
  <c r="AO39" i="6"/>
  <c r="AO40" i="6"/>
  <c r="AO41" i="6"/>
  <c r="AO42" i="6"/>
  <c r="AO43" i="6"/>
  <c r="AO24" i="6"/>
  <c r="AO3" i="6"/>
  <c r="AO4" i="6"/>
  <c r="AO5" i="6"/>
  <c r="AO6" i="6"/>
  <c r="AO7" i="6"/>
  <c r="AO8" i="6"/>
  <c r="AO9" i="6"/>
  <c r="AO10" i="6"/>
  <c r="AO11" i="6"/>
  <c r="AO12" i="6"/>
  <c r="AO13" i="6"/>
  <c r="AO14" i="6"/>
  <c r="AO15" i="6"/>
  <c r="AO16" i="6"/>
  <c r="AO17" i="6"/>
  <c r="AO18" i="6"/>
  <c r="AO19" i="6"/>
  <c r="AO20" i="6"/>
  <c r="AO21" i="6"/>
  <c r="AO2" i="6"/>
  <c r="F15" i="5" l="1"/>
  <c r="E15" i="5" s="1"/>
  <c r="E6" i="5" l="1"/>
  <c r="E8" i="6"/>
  <c r="E9" i="6"/>
  <c r="E10" i="6"/>
  <c r="B11" i="6"/>
  <c r="E11" i="6"/>
  <c r="E4" i="6" s="1"/>
  <c r="E23" i="6"/>
  <c r="F23" i="6"/>
  <c r="E28" i="6"/>
  <c r="A8" i="6" l="1"/>
  <c r="B8" i="6"/>
  <c r="B6" i="6" s="1"/>
  <c r="E5" i="6"/>
  <c r="B11" i="5"/>
  <c r="E16" i="5"/>
  <c r="E23" i="5"/>
  <c r="F23" i="5"/>
  <c r="E27" i="5"/>
  <c r="E28" i="5" s="1"/>
  <c r="E8" i="5"/>
  <c r="E9" i="5"/>
  <c r="AP25" i="6" l="1"/>
  <c r="AR25" i="6" s="1"/>
  <c r="AP15" i="6"/>
  <c r="AR15" i="6" s="1"/>
  <c r="AP20" i="6"/>
  <c r="AR20" i="6" s="1"/>
  <c r="AP32" i="6"/>
  <c r="AR32" i="6" s="1"/>
  <c r="AP36" i="6"/>
  <c r="AR36" i="6" s="1"/>
  <c r="AP39" i="6"/>
  <c r="AR39" i="6" s="1"/>
  <c r="AP42" i="6"/>
  <c r="AR42" i="6" s="1"/>
  <c r="AP3" i="6"/>
  <c r="AR3" i="6" s="1"/>
  <c r="AP6" i="6"/>
  <c r="AR6" i="6" s="1"/>
  <c r="AP13" i="6"/>
  <c r="AR13" i="6" s="1"/>
  <c r="AP26" i="6"/>
  <c r="AR26" i="6" s="1"/>
  <c r="AP16" i="6"/>
  <c r="AR16" i="6" s="1"/>
  <c r="AP30" i="6"/>
  <c r="AR30" i="6" s="1"/>
  <c r="AP33" i="6"/>
  <c r="AR33" i="6" s="1"/>
  <c r="AP35" i="6"/>
  <c r="AR35" i="6" s="1"/>
  <c r="AP38" i="6"/>
  <c r="AR38" i="6" s="1"/>
  <c r="AP40" i="6"/>
  <c r="AR40" i="6" s="1"/>
  <c r="AP43" i="6"/>
  <c r="AR43" i="6" s="1"/>
  <c r="AP4" i="6"/>
  <c r="AR4" i="6" s="1"/>
  <c r="AP7" i="6"/>
  <c r="AR7" i="6" s="1"/>
  <c r="AP12" i="6"/>
  <c r="AR12" i="6" s="1"/>
  <c r="AP27" i="6"/>
  <c r="AR27" i="6" s="1"/>
  <c r="AP17" i="6"/>
  <c r="AR17" i="6" s="1"/>
  <c r="AP18" i="6"/>
  <c r="AR18" i="6" s="1"/>
  <c r="AP19" i="6"/>
  <c r="AR19" i="6" s="1"/>
  <c r="AP31" i="6"/>
  <c r="AR31" i="6" s="1"/>
  <c r="AP21" i="6"/>
  <c r="AR21" i="6" s="1"/>
  <c r="AP2" i="6"/>
  <c r="AR2" i="6" s="1"/>
  <c r="AP34" i="6"/>
  <c r="AR34" i="6" s="1"/>
  <c r="AP37" i="6"/>
  <c r="AR37" i="6" s="1"/>
  <c r="AP41" i="6"/>
  <c r="AR41" i="6" s="1"/>
  <c r="AP24" i="6"/>
  <c r="AR24" i="6" s="1"/>
  <c r="AP5" i="6"/>
  <c r="AR5" i="6" s="1"/>
  <c r="AP8" i="6"/>
  <c r="AR8" i="6" s="1"/>
  <c r="AP9" i="6"/>
  <c r="AR9" i="6" s="1"/>
  <c r="AP10" i="6"/>
  <c r="AR10" i="6" s="1"/>
  <c r="AP11" i="6"/>
  <c r="AR11" i="6" s="1"/>
  <c r="AP14" i="6"/>
  <c r="AR14" i="6" s="1"/>
  <c r="AP28" i="6"/>
  <c r="AR28" i="6" s="1"/>
  <c r="AP29" i="6"/>
  <c r="AR29" i="6" s="1"/>
  <c r="AE43" i="6"/>
  <c r="AG43" i="6" s="1"/>
  <c r="AE39" i="6"/>
  <c r="AG39" i="6" s="1"/>
  <c r="AE36" i="6"/>
  <c r="AG36" i="6" s="1"/>
  <c r="AE31" i="6"/>
  <c r="AG31" i="6" s="1"/>
  <c r="AE28" i="6"/>
  <c r="AG28" i="6" s="1"/>
  <c r="AE26" i="6"/>
  <c r="AG26" i="6" s="1"/>
  <c r="AE42" i="6"/>
  <c r="AG42" i="6" s="1"/>
  <c r="AE40" i="6"/>
  <c r="AG40" i="6" s="1"/>
  <c r="AE38" i="6"/>
  <c r="AG38" i="6" s="1"/>
  <c r="AE37" i="6"/>
  <c r="AG37" i="6" s="1"/>
  <c r="AE35" i="6"/>
  <c r="AG35" i="6" s="1"/>
  <c r="AE33" i="6"/>
  <c r="AG33" i="6" s="1"/>
  <c r="AE32" i="6"/>
  <c r="AG32" i="6" s="1"/>
  <c r="AE30" i="6"/>
  <c r="AG30" i="6" s="1"/>
  <c r="AE29" i="6"/>
  <c r="AG29" i="6" s="1"/>
  <c r="AE27" i="6"/>
  <c r="AG27" i="6" s="1"/>
  <c r="AE25" i="6"/>
  <c r="AG25" i="6" s="1"/>
  <c r="AE24" i="6"/>
  <c r="AG24" i="6" s="1"/>
  <c r="AE41" i="6"/>
  <c r="AG41" i="6" s="1"/>
  <c r="AE34" i="6"/>
  <c r="AG34" i="6" s="1"/>
  <c r="A6" i="6"/>
  <c r="AE21" i="6"/>
  <c r="AG21" i="6" s="1"/>
  <c r="U37" i="6"/>
  <c r="W37" i="6" s="1"/>
  <c r="AE18" i="6"/>
  <c r="AG18" i="6" s="1"/>
  <c r="AE17" i="6"/>
  <c r="AG17" i="6" s="1"/>
  <c r="U42" i="6"/>
  <c r="W42" i="6" s="1"/>
  <c r="AE15" i="6"/>
  <c r="AG15" i="6" s="1"/>
  <c r="U24" i="6"/>
  <c r="W24" i="6" s="1"/>
  <c r="U3" i="6"/>
  <c r="W3" i="6" s="1"/>
  <c r="U4" i="6"/>
  <c r="W4" i="6" s="1"/>
  <c r="AE11" i="6"/>
  <c r="AG11" i="6" s="1"/>
  <c r="AE10" i="6"/>
  <c r="AG10" i="6" s="1"/>
  <c r="AE9" i="6"/>
  <c r="AG9" i="6" s="1"/>
  <c r="AE8" i="6"/>
  <c r="AG8" i="6" s="1"/>
  <c r="U9" i="6"/>
  <c r="W9" i="6" s="1"/>
  <c r="AE6" i="6"/>
  <c r="AG6" i="6" s="1"/>
  <c r="AE4" i="6"/>
  <c r="AG4" i="6" s="1"/>
  <c r="AE3" i="6"/>
  <c r="AG3" i="6" s="1"/>
  <c r="U13" i="6"/>
  <c r="W13" i="6" s="1"/>
  <c r="U25" i="6"/>
  <c r="W25" i="6" s="1"/>
  <c r="U26" i="6"/>
  <c r="U27" i="6"/>
  <c r="U18" i="6"/>
  <c r="W18" i="6" s="1"/>
  <c r="U19" i="6"/>
  <c r="W19" i="6" s="1"/>
  <c r="U20" i="6"/>
  <c r="W20" i="6" s="1"/>
  <c r="U21" i="6"/>
  <c r="W21" i="6" s="1"/>
  <c r="U2" i="6"/>
  <c r="W2" i="6" s="1"/>
  <c r="U35" i="6"/>
  <c r="W35" i="6" s="1"/>
  <c r="AE20" i="6"/>
  <c r="AG20" i="6" s="1"/>
  <c r="U38" i="6"/>
  <c r="W38" i="6" s="1"/>
  <c r="U39" i="6"/>
  <c r="W39" i="6" s="1"/>
  <c r="U40" i="6"/>
  <c r="W40" i="6" s="1"/>
  <c r="U41" i="6"/>
  <c r="W41" i="6" s="1"/>
  <c r="AE16" i="6"/>
  <c r="AG16" i="6" s="1"/>
  <c r="U43" i="6"/>
  <c r="W43" i="6" s="1"/>
  <c r="AE14" i="6"/>
  <c r="AG14" i="6" s="1"/>
  <c r="AE13" i="6"/>
  <c r="AG13" i="6" s="1"/>
  <c r="AE12" i="6"/>
  <c r="AG12" i="6" s="1"/>
  <c r="U5" i="6"/>
  <c r="W5" i="6" s="1"/>
  <c r="U6" i="6"/>
  <c r="W6" i="6" s="1"/>
  <c r="U7" i="6"/>
  <c r="W7" i="6" s="1"/>
  <c r="U8" i="6"/>
  <c r="W8" i="6" s="1"/>
  <c r="AE7" i="6"/>
  <c r="AG7" i="6" s="1"/>
  <c r="U10" i="6"/>
  <c r="W10" i="6" s="1"/>
  <c r="AE5" i="6"/>
  <c r="AG5" i="6" s="1"/>
  <c r="U12" i="6"/>
  <c r="W12" i="6" s="1"/>
  <c r="U14" i="6"/>
  <c r="W14" i="6" s="1"/>
  <c r="U15" i="6"/>
  <c r="W15" i="6" s="1"/>
  <c r="U16" i="6"/>
  <c r="W16" i="6" s="1"/>
  <c r="U28" i="6"/>
  <c r="W28" i="6" s="1"/>
  <c r="U29" i="6"/>
  <c r="W29" i="6" s="1"/>
  <c r="U31" i="6"/>
  <c r="U32" i="6"/>
  <c r="W32" i="6" s="1"/>
  <c r="U34" i="6"/>
  <c r="W34" i="6" s="1"/>
  <c r="U36" i="6"/>
  <c r="W36" i="6" s="1"/>
  <c r="AE19" i="6"/>
  <c r="AG19" i="6" s="1"/>
  <c r="AE2" i="6"/>
  <c r="AG2" i="6" s="1"/>
  <c r="U17" i="6"/>
  <c r="W17" i="6" s="1"/>
  <c r="U30" i="6"/>
  <c r="W30" i="6" s="1"/>
  <c r="U33" i="6"/>
  <c r="W33" i="6" s="1"/>
  <c r="U11" i="6"/>
  <c r="W11" i="6" s="1"/>
  <c r="W26" i="6"/>
  <c r="W27" i="6"/>
  <c r="W31" i="6"/>
  <c r="A8" i="5"/>
  <c r="A6" i="5" s="1"/>
  <c r="E10" i="5"/>
  <c r="B8" i="5"/>
  <c r="B6" i="5" s="1"/>
  <c r="F16" i="5"/>
  <c r="E17" i="5" s="1"/>
  <c r="AS27" i="6" a="1"/>
  <c r="X37" i="6" a="1"/>
  <c r="AS31" i="6" a="1"/>
  <c r="AH5" i="6" a="1"/>
  <c r="AS39" i="6" a="1"/>
  <c r="AS11" i="6" a="1"/>
  <c r="AH33" i="6" a="1"/>
  <c r="AH14" i="6" a="1"/>
  <c r="AS9" i="6" a="1"/>
  <c r="X26" i="6" a="1"/>
  <c r="X33" i="6" a="1"/>
  <c r="AH12" i="6" a="1"/>
  <c r="X32" i="6" a="1"/>
  <c r="AS14" i="6" a="1"/>
  <c r="AS19" i="6" a="1"/>
  <c r="AH39" i="6" a="1"/>
  <c r="X13" i="6" a="1"/>
  <c r="AS41" i="6" a="1"/>
  <c r="X15" i="6" a="1"/>
  <c r="AH21" i="6" a="1"/>
  <c r="X34" i="6" a="1"/>
  <c r="AS40" i="6" a="1"/>
  <c r="AH18" i="6" a="1"/>
  <c r="X20" i="6" a="1"/>
  <c r="X24" i="6" a="1"/>
  <c r="AH29" i="6" a="1"/>
  <c r="X9" i="6" a="1"/>
  <c r="X19" i="6" a="1"/>
  <c r="AS7" i="6" a="1"/>
  <c r="X21" i="6" a="1"/>
  <c r="AS29" i="6" a="1"/>
  <c r="AH6" i="6" a="1"/>
  <c r="AH2" i="6" a="1"/>
  <c r="AH31" i="6" a="1"/>
  <c r="X42" i="6" a="1"/>
  <c r="AH42" i="6" a="1"/>
  <c r="X36" i="6" a="1"/>
  <c r="AH37" i="6" a="1"/>
  <c r="X35" i="6" a="1"/>
  <c r="X2" i="6" a="1"/>
  <c r="X11" i="6" a="1"/>
  <c r="AH16" i="6" a="1"/>
  <c r="AH8" i="6" a="1"/>
  <c r="X43" i="6" a="1"/>
  <c r="AH13" i="6" a="1"/>
  <c r="AS2" i="6" a="1"/>
  <c r="AH43" i="6" a="1"/>
  <c r="AH4" i="6" a="1"/>
  <c r="X18" i="6" a="1"/>
  <c r="X17" i="6" a="1"/>
  <c r="AS26" i="6" a="1"/>
  <c r="AH7" i="6" a="1"/>
  <c r="AS25" i="6" a="1"/>
  <c r="AH26" i="6" a="1"/>
  <c r="X14" i="6" a="1"/>
  <c r="X28" i="6" a="1"/>
  <c r="AS5" i="6" a="1"/>
  <c r="X12" i="6" a="1"/>
  <c r="X40" i="6" a="1"/>
  <c r="AS36" i="6" a="1"/>
  <c r="X39" i="6" a="1"/>
  <c r="AH17" i="6" a="1"/>
  <c r="X8" i="6" a="1"/>
  <c r="AS21" i="6" a="1"/>
  <c r="AH11" i="6" a="1"/>
  <c r="AH3" i="6" a="1"/>
  <c r="AS15" i="6" a="1"/>
  <c r="AS28" i="6" a="1"/>
  <c r="AH10" i="6" a="1"/>
  <c r="AH28" i="6" a="1"/>
  <c r="AS18" i="6" a="1"/>
  <c r="AS6" i="6" a="1"/>
  <c r="X41" i="6" a="1"/>
  <c r="AS17" i="6" a="1"/>
  <c r="AH40" i="6" a="1"/>
  <c r="X38" i="6" a="1"/>
  <c r="X16" i="6" a="1"/>
  <c r="AH38" i="6" a="1"/>
  <c r="X6" i="6" a="1"/>
  <c r="AS34" i="6" a="1"/>
  <c r="X10" i="6" a="1"/>
  <c r="AS10" i="6" a="1"/>
  <c r="AH35" i="6" a="1"/>
  <c r="AH9" i="6" a="1"/>
  <c r="AH32" i="6" a="1"/>
  <c r="AS38" i="6" a="1"/>
  <c r="AS32" i="6" a="1"/>
  <c r="X3" i="6" a="1"/>
  <c r="X4" i="6" a="1"/>
  <c r="AS20" i="6" a="1"/>
  <c r="AS4" i="6" a="1"/>
  <c r="AH24" i="6" a="1"/>
  <c r="AH30" i="6" a="1"/>
  <c r="AS30" i="6" a="1"/>
  <c r="AH34" i="6" a="1"/>
  <c r="AS33" i="6" a="1"/>
  <c r="X27" i="6" a="1"/>
  <c r="X30" i="6" a="1"/>
  <c r="X5" i="6" a="1"/>
  <c r="X29" i="6" a="1"/>
  <c r="AH19" i="6" a="1"/>
  <c r="AS37" i="6" a="1"/>
  <c r="AS13" i="6" a="1"/>
  <c r="AH25" i="6" a="1"/>
  <c r="AS35" i="6" a="1"/>
  <c r="AH41" i="6" a="1"/>
  <c r="AH20" i="6" a="1"/>
  <c r="AS12" i="6" a="1"/>
  <c r="AS3" i="6" a="1"/>
  <c r="AH15" i="6" a="1"/>
  <c r="AS16" i="6" a="1"/>
  <c r="AS42" i="6" a="1"/>
  <c r="X31" i="6" a="1"/>
  <c r="X7" i="6" a="1"/>
  <c r="AS24" i="6" a="1"/>
  <c r="AH27" i="6" a="1"/>
  <c r="AH36" i="6" a="1"/>
  <c r="AS8" i="6" a="1"/>
  <c r="X25" i="6" a="1"/>
  <c r="AS43" i="6" a="1"/>
  <c r="AS2" i="6" l="1"/>
  <c r="AT2" i="6" s="1"/>
  <c r="AU2" i="6" s="1"/>
  <c r="AW2" i="6" s="1"/>
  <c r="AX2" i="6" s="1"/>
  <c r="AS31" i="6"/>
  <c r="AT31" i="6" s="1"/>
  <c r="AU31" i="6" s="1"/>
  <c r="AW31" i="6" s="1"/>
  <c r="AX31" i="6" s="1"/>
  <c r="AS16" i="6"/>
  <c r="AT16" i="6" s="1"/>
  <c r="AU16" i="6" s="1"/>
  <c r="AW16" i="6" s="1"/>
  <c r="AX16" i="6" s="1"/>
  <c r="AS13" i="6"/>
  <c r="AT13" i="6" s="1"/>
  <c r="AU13" i="6" s="1"/>
  <c r="AW13" i="6" s="1"/>
  <c r="AX13" i="6" s="1"/>
  <c r="AS40" i="6"/>
  <c r="AT40" i="6" s="1"/>
  <c r="AU40" i="6" s="1"/>
  <c r="AW40" i="6" s="1"/>
  <c r="AX40" i="6" s="1"/>
  <c r="AS6" i="6"/>
  <c r="AT6" i="6" s="1"/>
  <c r="AU6" i="6" s="1"/>
  <c r="AW6" i="6" s="1"/>
  <c r="AX6" i="6" s="1"/>
  <c r="AS33" i="6"/>
  <c r="AT33" i="6" s="1"/>
  <c r="AU33" i="6" s="1"/>
  <c r="AW33" i="6" s="1"/>
  <c r="AX33" i="6" s="1"/>
  <c r="AS3" i="6"/>
  <c r="AT3" i="6" s="1"/>
  <c r="AU3" i="6" s="1"/>
  <c r="AW3" i="6" s="1"/>
  <c r="AX3" i="6" s="1"/>
  <c r="AS27" i="6"/>
  <c r="AT27" i="6" s="1"/>
  <c r="AU27" i="6" s="1"/>
  <c r="AW27" i="6" s="1"/>
  <c r="AX27" i="6" s="1"/>
  <c r="AS4" i="6"/>
  <c r="AT4" i="6" s="1"/>
  <c r="AU4" i="6" s="1"/>
  <c r="AW4" i="6" s="1"/>
  <c r="AX4" i="6" s="1"/>
  <c r="AS38" i="6"/>
  <c r="AT38" i="6" s="1"/>
  <c r="AU38" i="6" s="1"/>
  <c r="AW38" i="6" s="1"/>
  <c r="AX38" i="6" s="1"/>
  <c r="AS26" i="6"/>
  <c r="AT26" i="6" s="1"/>
  <c r="AU26" i="6" s="1"/>
  <c r="AW26" i="6" s="1"/>
  <c r="AX26" i="6" s="1"/>
  <c r="AS42" i="6"/>
  <c r="AT42" i="6" s="1"/>
  <c r="AU42" i="6" s="1"/>
  <c r="AW42" i="6" s="1"/>
  <c r="AX42" i="6" s="1"/>
  <c r="AS39" i="6"/>
  <c r="AT39" i="6" s="1"/>
  <c r="AU39" i="6" s="1"/>
  <c r="AW39" i="6" s="1"/>
  <c r="AX39" i="6" s="1"/>
  <c r="AS12" i="6"/>
  <c r="AT12" i="6" s="1"/>
  <c r="AU12" i="6" s="1"/>
  <c r="AW12" i="6" s="1"/>
  <c r="AX12" i="6" s="1"/>
  <c r="AS36" i="6"/>
  <c r="AT36" i="6" s="1"/>
  <c r="AU36" i="6" s="1"/>
  <c r="AW36" i="6" s="1"/>
  <c r="AX36" i="6" s="1"/>
  <c r="AS43" i="6"/>
  <c r="AT43" i="6" s="1"/>
  <c r="AU43" i="6" s="1"/>
  <c r="AW43" i="6" s="1"/>
  <c r="AX43" i="6" s="1"/>
  <c r="AS32" i="6"/>
  <c r="AT32" i="6" s="1"/>
  <c r="AU32" i="6" s="1"/>
  <c r="AW32" i="6" s="1"/>
  <c r="AX32" i="6" s="1"/>
  <c r="AS17" i="6"/>
  <c r="AT17" i="6" s="1"/>
  <c r="AU17" i="6" s="1"/>
  <c r="AW17" i="6" s="1"/>
  <c r="AX17" i="6" s="1"/>
  <c r="AS20" i="6"/>
  <c r="AT20" i="6" s="1"/>
  <c r="AU20" i="6" s="1"/>
  <c r="AW20" i="6" s="1"/>
  <c r="AX20" i="6" s="1"/>
  <c r="AS18" i="6"/>
  <c r="AT18" i="6" s="1"/>
  <c r="AU18" i="6" s="1"/>
  <c r="AW18" i="6" s="1"/>
  <c r="AX18" i="6" s="1"/>
  <c r="AS7" i="6"/>
  <c r="AT7" i="6" s="1"/>
  <c r="AU7" i="6" s="1"/>
  <c r="AW7" i="6" s="1"/>
  <c r="AX7" i="6" s="1"/>
  <c r="AS15" i="6"/>
  <c r="AT15" i="6" s="1"/>
  <c r="AU15" i="6" s="1"/>
  <c r="AW15" i="6" s="1"/>
  <c r="AX15" i="6" s="1"/>
  <c r="AS34" i="6"/>
  <c r="AT34" i="6" s="1"/>
  <c r="AU34" i="6" s="1"/>
  <c r="AW34" i="6" s="1"/>
  <c r="AX34" i="6" s="1"/>
  <c r="AS29" i="6"/>
  <c r="AT29" i="6" s="1"/>
  <c r="AU29" i="6" s="1"/>
  <c r="AW29" i="6" s="1"/>
  <c r="AX29" i="6" s="1"/>
  <c r="AS8" i="6"/>
  <c r="AT8" i="6" s="1"/>
  <c r="AU8" i="6" s="1"/>
  <c r="AW8" i="6" s="1"/>
  <c r="AX8" i="6" s="1"/>
  <c r="AS5" i="6"/>
  <c r="AT5" i="6" s="1"/>
  <c r="AU5" i="6" s="1"/>
  <c r="AW5" i="6" s="1"/>
  <c r="AX5" i="6" s="1"/>
  <c r="AS25" i="6"/>
  <c r="AT25" i="6" s="1"/>
  <c r="AU25" i="6" s="1"/>
  <c r="AW25" i="6" s="1"/>
  <c r="AX25" i="6" s="1"/>
  <c r="AS19" i="6"/>
  <c r="AT19" i="6" s="1"/>
  <c r="AU19" i="6" s="1"/>
  <c r="AW19" i="6" s="1"/>
  <c r="AX19" i="6" s="1"/>
  <c r="AS14" i="6"/>
  <c r="AT14" i="6" s="1"/>
  <c r="AU14" i="6" s="1"/>
  <c r="AW14" i="6" s="1"/>
  <c r="AX14" i="6" s="1"/>
  <c r="AS11" i="6"/>
  <c r="AT11" i="6" s="1"/>
  <c r="AU11" i="6" s="1"/>
  <c r="AW11" i="6" s="1"/>
  <c r="AX11" i="6" s="1"/>
  <c r="AS10" i="6"/>
  <c r="AT10" i="6" s="1"/>
  <c r="AU10" i="6" s="1"/>
  <c r="AW10" i="6" s="1"/>
  <c r="AX10" i="6" s="1"/>
  <c r="AS9" i="6"/>
  <c r="AT9" i="6" s="1"/>
  <c r="AU9" i="6" s="1"/>
  <c r="AW9" i="6" s="1"/>
  <c r="AX9" i="6" s="1"/>
  <c r="AS24" i="6"/>
  <c r="AT24" i="6" s="1"/>
  <c r="AU24" i="6" s="1"/>
  <c r="AW24" i="6" s="1"/>
  <c r="AX24" i="6" s="1"/>
  <c r="AS35" i="6"/>
  <c r="AT35" i="6" s="1"/>
  <c r="AU35" i="6" s="1"/>
  <c r="AW35" i="6" s="1"/>
  <c r="AX35" i="6" s="1"/>
  <c r="AS28" i="6"/>
  <c r="AT28" i="6" s="1"/>
  <c r="AU28" i="6" s="1"/>
  <c r="AW28" i="6" s="1"/>
  <c r="AX28" i="6" s="1"/>
  <c r="AS41" i="6"/>
  <c r="AT41" i="6" s="1"/>
  <c r="AU41" i="6" s="1"/>
  <c r="AW41" i="6" s="1"/>
  <c r="AX41" i="6" s="1"/>
  <c r="AS21" i="6"/>
  <c r="AT21" i="6" s="1"/>
  <c r="AU21" i="6" s="1"/>
  <c r="AW21" i="6" s="1"/>
  <c r="AX21" i="6" s="1"/>
  <c r="AS30" i="6"/>
  <c r="AT30" i="6" s="1"/>
  <c r="AU30" i="6" s="1"/>
  <c r="AW30" i="6" s="1"/>
  <c r="AX30" i="6" s="1"/>
  <c r="AS37" i="6"/>
  <c r="AT37" i="6" s="1"/>
  <c r="AU37" i="6" s="1"/>
  <c r="AW37" i="6" s="1"/>
  <c r="AX37" i="6" s="1"/>
  <c r="AH30" i="6"/>
  <c r="AI30" i="6" s="1"/>
  <c r="AJ30" i="6" s="1"/>
  <c r="AL30" i="6" s="1"/>
  <c r="AM30" i="6" s="1"/>
  <c r="AH41" i="6"/>
  <c r="AI41" i="6" s="1"/>
  <c r="AJ41" i="6" s="1"/>
  <c r="AL41" i="6" s="1"/>
  <c r="AM41" i="6" s="1"/>
  <c r="AH32" i="6"/>
  <c r="AI32" i="6" s="1"/>
  <c r="AJ32" i="6" s="1"/>
  <c r="AL32" i="6" s="1"/>
  <c r="AM32" i="6" s="1"/>
  <c r="AH35" i="6"/>
  <c r="AI35" i="6" s="1"/>
  <c r="AJ35" i="6" s="1"/>
  <c r="AL35" i="6" s="1"/>
  <c r="AM35" i="6" s="1"/>
  <c r="AH25" i="6"/>
  <c r="AH37" i="6"/>
  <c r="AI37" i="6" s="1"/>
  <c r="AJ37" i="6" s="1"/>
  <c r="AL37" i="6" s="1"/>
  <c r="AM37" i="6" s="1"/>
  <c r="AH40" i="6"/>
  <c r="AI40" i="6" s="1"/>
  <c r="AJ40" i="6" s="1"/>
  <c r="AL40" i="6" s="1"/>
  <c r="AM40" i="6" s="1"/>
  <c r="AH42" i="6"/>
  <c r="AI42" i="6" s="1"/>
  <c r="AJ42" i="6" s="1"/>
  <c r="AL42" i="6" s="1"/>
  <c r="AM42" i="6" s="1"/>
  <c r="AH27" i="6"/>
  <c r="AI27" i="6" s="1"/>
  <c r="AJ27" i="6" s="1"/>
  <c r="AL27" i="6" s="1"/>
  <c r="AM27" i="6" s="1"/>
  <c r="AH26" i="6"/>
  <c r="AI26" i="6" s="1"/>
  <c r="AJ26" i="6" s="1"/>
  <c r="AL26" i="6" s="1"/>
  <c r="AM26" i="6" s="1"/>
  <c r="AH34" i="6"/>
  <c r="AI34" i="6" s="1"/>
  <c r="AJ34" i="6" s="1"/>
  <c r="AL34" i="6" s="1"/>
  <c r="AM34" i="6" s="1"/>
  <c r="AH33" i="6"/>
  <c r="AI33" i="6" s="1"/>
  <c r="AJ33" i="6" s="1"/>
  <c r="AL33" i="6" s="1"/>
  <c r="AM33" i="6" s="1"/>
  <c r="AH38" i="6"/>
  <c r="AI38" i="6" s="1"/>
  <c r="AJ38" i="6" s="1"/>
  <c r="AL38" i="6" s="1"/>
  <c r="AM38" i="6" s="1"/>
  <c r="AH28" i="6"/>
  <c r="AI28" i="6" s="1"/>
  <c r="AJ28" i="6" s="1"/>
  <c r="AL28" i="6" s="1"/>
  <c r="AM28" i="6" s="1"/>
  <c r="AH24" i="6"/>
  <c r="AI24" i="6" s="1"/>
  <c r="AJ24" i="6" s="1"/>
  <c r="AL24" i="6" s="1"/>
  <c r="AM24" i="6" s="1"/>
  <c r="AH31" i="6"/>
  <c r="AI31" i="6" s="1"/>
  <c r="AJ31" i="6" s="1"/>
  <c r="AL31" i="6" s="1"/>
  <c r="AM31" i="6" s="1"/>
  <c r="AH39" i="6"/>
  <c r="AI39" i="6" s="1"/>
  <c r="AJ39" i="6" s="1"/>
  <c r="AL39" i="6" s="1"/>
  <c r="AM39" i="6" s="1"/>
  <c r="AH29" i="6"/>
  <c r="AI29" i="6" s="1"/>
  <c r="AJ29" i="6" s="1"/>
  <c r="AL29" i="6" s="1"/>
  <c r="AM29" i="6" s="1"/>
  <c r="AH36" i="6"/>
  <c r="AI36" i="6" s="1"/>
  <c r="AJ36" i="6" s="1"/>
  <c r="AL36" i="6" s="1"/>
  <c r="AM36" i="6" s="1"/>
  <c r="AH43" i="6"/>
  <c r="AI43" i="6" s="1"/>
  <c r="AJ43" i="6" s="1"/>
  <c r="AL43" i="6" s="1"/>
  <c r="AM43" i="6" s="1"/>
  <c r="AI25" i="6"/>
  <c r="AJ25" i="6" s="1"/>
  <c r="AL25" i="6" s="1"/>
  <c r="AM25" i="6" s="1"/>
  <c r="AH6" i="6"/>
  <c r="AI6" i="6" s="1"/>
  <c r="AJ6" i="6" s="1"/>
  <c r="AL6" i="6" s="1"/>
  <c r="AM6" i="6" s="1"/>
  <c r="AH8" i="6"/>
  <c r="AI8" i="6" s="1"/>
  <c r="AJ8" i="6" s="1"/>
  <c r="AL8" i="6" s="1"/>
  <c r="AM8" i="6" s="1"/>
  <c r="AH17" i="6"/>
  <c r="AI17" i="6" s="1"/>
  <c r="AJ17" i="6" s="1"/>
  <c r="AL17" i="6" s="1"/>
  <c r="AM17" i="6" s="1"/>
  <c r="AH11" i="6"/>
  <c r="AI11" i="6" s="1"/>
  <c r="AJ11" i="6" s="1"/>
  <c r="AL11" i="6" s="1"/>
  <c r="AM11" i="6" s="1"/>
  <c r="AH7" i="6"/>
  <c r="AI7" i="6" s="1"/>
  <c r="AJ7" i="6" s="1"/>
  <c r="AL7" i="6" s="1"/>
  <c r="AM7" i="6" s="1"/>
  <c r="AH21" i="6"/>
  <c r="AI21" i="6" s="1"/>
  <c r="AJ21" i="6" s="1"/>
  <c r="AL21" i="6" s="1"/>
  <c r="AM21" i="6" s="1"/>
  <c r="AH4" i="6"/>
  <c r="AI4" i="6" s="1"/>
  <c r="AJ4" i="6" s="1"/>
  <c r="AL4" i="6" s="1"/>
  <c r="AM4" i="6" s="1"/>
  <c r="AH9" i="6"/>
  <c r="AI9" i="6" s="1"/>
  <c r="AJ9" i="6" s="1"/>
  <c r="AL9" i="6" s="1"/>
  <c r="AM9" i="6" s="1"/>
  <c r="AH12" i="6"/>
  <c r="AI12" i="6" s="1"/>
  <c r="AJ12" i="6" s="1"/>
  <c r="AL12" i="6" s="1"/>
  <c r="AM12" i="6" s="1"/>
  <c r="AH16" i="6"/>
  <c r="AH20" i="6"/>
  <c r="AI20" i="6" s="1"/>
  <c r="AJ20" i="6" s="1"/>
  <c r="AL20" i="6" s="1"/>
  <c r="AM20" i="6" s="1"/>
  <c r="AH2" i="6"/>
  <c r="AH18" i="6"/>
  <c r="AI18" i="6" s="1"/>
  <c r="AJ18" i="6" s="1"/>
  <c r="AL18" i="6" s="1"/>
  <c r="AM18" i="6" s="1"/>
  <c r="AH3" i="6"/>
  <c r="AH10" i="6"/>
  <c r="AI10" i="6" s="1"/>
  <c r="AJ10" i="6" s="1"/>
  <c r="AL10" i="6" s="1"/>
  <c r="AM10" i="6" s="1"/>
  <c r="AH15" i="6"/>
  <c r="AH14" i="6"/>
  <c r="AH5" i="6"/>
  <c r="AH13" i="6"/>
  <c r="AI13" i="6" s="1"/>
  <c r="AJ13" i="6" s="1"/>
  <c r="AL13" i="6" s="1"/>
  <c r="AM13" i="6" s="1"/>
  <c r="AH19" i="6"/>
  <c r="AI19" i="6" s="1"/>
  <c r="AJ19" i="6" s="1"/>
  <c r="AL19" i="6" s="1"/>
  <c r="AM19" i="6" s="1"/>
  <c r="AI5" i="6"/>
  <c r="AJ5" i="6" s="1"/>
  <c r="AL5" i="6" s="1"/>
  <c r="AM5" i="6" s="1"/>
  <c r="AI14" i="6"/>
  <c r="AJ14" i="6" s="1"/>
  <c r="AL14" i="6" s="1"/>
  <c r="AM14" i="6" s="1"/>
  <c r="AI2" i="6"/>
  <c r="AJ2" i="6" s="1"/>
  <c r="AL2" i="6" s="1"/>
  <c r="AM2" i="6" s="1"/>
  <c r="AI16" i="6"/>
  <c r="AJ16" i="6" s="1"/>
  <c r="AL16" i="6" s="1"/>
  <c r="AM16" i="6" s="1"/>
  <c r="AI3" i="6"/>
  <c r="AJ3" i="6" s="1"/>
  <c r="AL3" i="6" s="1"/>
  <c r="AM3" i="6" s="1"/>
  <c r="AI15" i="6"/>
  <c r="AJ15" i="6" s="1"/>
  <c r="AL15" i="6" s="1"/>
  <c r="AM15" i="6" s="1"/>
  <c r="X5" i="6"/>
  <c r="Y5" i="6" s="1"/>
  <c r="Z5" i="6" s="1"/>
  <c r="AB5" i="6" s="1"/>
  <c r="AC5" i="6" s="1"/>
  <c r="X21" i="6"/>
  <c r="Y21" i="6" s="1"/>
  <c r="Z21" i="6" s="1"/>
  <c r="AB21" i="6" s="1"/>
  <c r="AC21" i="6" s="1"/>
  <c r="X12" i="6"/>
  <c r="Y12" i="6" s="1"/>
  <c r="Z12" i="6" s="1"/>
  <c r="AB12" i="6" s="1"/>
  <c r="AC12" i="6" s="1"/>
  <c r="X3" i="6"/>
  <c r="Y3" i="6" s="1"/>
  <c r="Z3" i="6" s="1"/>
  <c r="AB3" i="6" s="1"/>
  <c r="AC3" i="6" s="1"/>
  <c r="X8" i="6"/>
  <c r="Y8" i="6" s="1"/>
  <c r="Z8" i="6" s="1"/>
  <c r="AB8" i="6" s="1"/>
  <c r="AC8" i="6" s="1"/>
  <c r="X42" i="6"/>
  <c r="Y42" i="6" s="1"/>
  <c r="Z42" i="6" s="1"/>
  <c r="AB42" i="6" s="1"/>
  <c r="AC42" i="6" s="1"/>
  <c r="X9" i="6"/>
  <c r="Y9" i="6" s="1"/>
  <c r="Z9" i="6" s="1"/>
  <c r="AB9" i="6" s="1"/>
  <c r="AC9" i="6" s="1"/>
  <c r="X6" i="6"/>
  <c r="Y6" i="6" s="1"/>
  <c r="Z6" i="6" s="1"/>
  <c r="AB6" i="6" s="1"/>
  <c r="AC6" i="6" s="1"/>
  <c r="X16" i="6"/>
  <c r="Y16" i="6" s="1"/>
  <c r="Z16" i="6" s="1"/>
  <c r="AB16" i="6" s="1"/>
  <c r="AC16" i="6" s="1"/>
  <c r="X41" i="6"/>
  <c r="Y41" i="6" s="1"/>
  <c r="Z41" i="6" s="1"/>
  <c r="AB41" i="6" s="1"/>
  <c r="AC41" i="6" s="1"/>
  <c r="X36" i="6"/>
  <c r="Y36" i="6" s="1"/>
  <c r="Z36" i="6" s="1"/>
  <c r="AB36" i="6" s="1"/>
  <c r="AC36" i="6" s="1"/>
  <c r="X28" i="6"/>
  <c r="Y28" i="6" s="1"/>
  <c r="Z28" i="6" s="1"/>
  <c r="AB28" i="6" s="1"/>
  <c r="AC28" i="6" s="1"/>
  <c r="X18" i="6"/>
  <c r="Y18" i="6" s="1"/>
  <c r="Z18" i="6" s="1"/>
  <c r="AB18" i="6" s="1"/>
  <c r="AC18" i="6" s="1"/>
  <c r="X20" i="6"/>
  <c r="Y20" i="6" s="1"/>
  <c r="Z20" i="6" s="1"/>
  <c r="AB20" i="6" s="1"/>
  <c r="AC20" i="6" s="1"/>
  <c r="X15" i="6"/>
  <c r="Y15" i="6" s="1"/>
  <c r="Z15" i="6" s="1"/>
  <c r="AB15" i="6" s="1"/>
  <c r="AC15" i="6" s="1"/>
  <c r="X26" i="6"/>
  <c r="Y26" i="6" s="1"/>
  <c r="Z26" i="6" s="1"/>
  <c r="AB26" i="6" s="1"/>
  <c r="AC26" i="6" s="1"/>
  <c r="X37" i="6"/>
  <c r="Y37" i="6" s="1"/>
  <c r="Z37" i="6" s="1"/>
  <c r="AB37" i="6" s="1"/>
  <c r="AC37" i="6" s="1"/>
  <c r="X11" i="6"/>
  <c r="Y11" i="6" s="1"/>
  <c r="Z11" i="6" s="1"/>
  <c r="AB11" i="6" s="1"/>
  <c r="AC11" i="6" s="1"/>
  <c r="X7" i="6"/>
  <c r="Y7" i="6" s="1"/>
  <c r="Z7" i="6" s="1"/>
  <c r="AB7" i="6" s="1"/>
  <c r="AC7" i="6" s="1"/>
  <c r="X24" i="6"/>
  <c r="Y24" i="6" s="1"/>
  <c r="Z24" i="6" s="1"/>
  <c r="AB24" i="6" s="1"/>
  <c r="AC24" i="6" s="1"/>
  <c r="X40" i="6"/>
  <c r="Y40" i="6" s="1"/>
  <c r="Z40" i="6" s="1"/>
  <c r="AB40" i="6" s="1"/>
  <c r="AC40" i="6" s="1"/>
  <c r="X39" i="6"/>
  <c r="Y39" i="6" s="1"/>
  <c r="Z39" i="6" s="1"/>
  <c r="AB39" i="6" s="1"/>
  <c r="AC39" i="6" s="1"/>
  <c r="X31" i="6"/>
  <c r="Y31" i="6" s="1"/>
  <c r="Z31" i="6" s="1"/>
  <c r="AB31" i="6" s="1"/>
  <c r="AC31" i="6" s="1"/>
  <c r="X13" i="6"/>
  <c r="Y13" i="6" s="1"/>
  <c r="Z13" i="6" s="1"/>
  <c r="AB13" i="6" s="1"/>
  <c r="AC13" i="6" s="1"/>
  <c r="X35" i="6"/>
  <c r="Y35" i="6" s="1"/>
  <c r="Z35" i="6" s="1"/>
  <c r="AB35" i="6" s="1"/>
  <c r="AC35" i="6" s="1"/>
  <c r="X32" i="6"/>
  <c r="Y32" i="6" s="1"/>
  <c r="Z32" i="6" s="1"/>
  <c r="AB32" i="6" s="1"/>
  <c r="AC32" i="6" s="1"/>
  <c r="X14" i="6"/>
  <c r="Y14" i="6" s="1"/>
  <c r="Z14" i="6" s="1"/>
  <c r="AB14" i="6" s="1"/>
  <c r="AC14" i="6" s="1"/>
  <c r="X4" i="6"/>
  <c r="Y4" i="6" s="1"/>
  <c r="Z4" i="6" s="1"/>
  <c r="AB4" i="6" s="1"/>
  <c r="AC4" i="6" s="1"/>
  <c r="X29" i="6"/>
  <c r="Y29" i="6" s="1"/>
  <c r="Z29" i="6" s="1"/>
  <c r="AB29" i="6" s="1"/>
  <c r="AC29" i="6" s="1"/>
  <c r="X10" i="6"/>
  <c r="Y10" i="6" s="1"/>
  <c r="Z10" i="6" s="1"/>
  <c r="AB10" i="6" s="1"/>
  <c r="AC10" i="6" s="1"/>
  <c r="X34" i="6"/>
  <c r="Y34" i="6" s="1"/>
  <c r="Z34" i="6" s="1"/>
  <c r="AB34" i="6" s="1"/>
  <c r="AC34" i="6" s="1"/>
  <c r="X33" i="6"/>
  <c r="Y33" i="6" s="1"/>
  <c r="Z33" i="6" s="1"/>
  <c r="AB33" i="6" s="1"/>
  <c r="AC33" i="6" s="1"/>
  <c r="X27" i="6"/>
  <c r="Y27" i="6" s="1"/>
  <c r="Z27" i="6" s="1"/>
  <c r="AB27" i="6" s="1"/>
  <c r="AC27" i="6" s="1"/>
  <c r="X38" i="6"/>
  <c r="Y38" i="6" s="1"/>
  <c r="Z38" i="6" s="1"/>
  <c r="AB38" i="6" s="1"/>
  <c r="AC38" i="6" s="1"/>
  <c r="X30" i="6"/>
  <c r="Y30" i="6" s="1"/>
  <c r="Z30" i="6" s="1"/>
  <c r="AB30" i="6" s="1"/>
  <c r="AC30" i="6" s="1"/>
  <c r="X19" i="6"/>
  <c r="Y19" i="6" s="1"/>
  <c r="Z19" i="6" s="1"/>
  <c r="AB19" i="6" s="1"/>
  <c r="AC19" i="6" s="1"/>
  <c r="X43" i="6"/>
  <c r="Y43" i="6" s="1"/>
  <c r="Z43" i="6" s="1"/>
  <c r="AB43" i="6" s="1"/>
  <c r="AC43" i="6" s="1"/>
  <c r="X17" i="6"/>
  <c r="Y17" i="6" s="1"/>
  <c r="Z17" i="6" s="1"/>
  <c r="AB17" i="6" s="1"/>
  <c r="AC17" i="6" s="1"/>
  <c r="X25" i="6"/>
  <c r="Y25" i="6" s="1"/>
  <c r="Z25" i="6" s="1"/>
  <c r="AB25" i="6" s="1"/>
  <c r="AC25" i="6" s="1"/>
  <c r="X2" i="6"/>
  <c r="F18" i="5"/>
  <c r="E18" i="5"/>
  <c r="F30" i="5"/>
  <c r="F31" i="5"/>
  <c r="F33" i="5"/>
  <c r="F32" i="5"/>
  <c r="A11" i="6"/>
  <c r="A13" i="6" s="1"/>
  <c r="A4" i="6" s="1"/>
  <c r="E19" i="5"/>
  <c r="E11" i="5" s="1"/>
  <c r="E5" i="5" s="1"/>
  <c r="H2" i="6" l="1"/>
  <c r="H3" i="6"/>
  <c r="H35" i="6"/>
  <c r="H36" i="6"/>
  <c r="H5" i="6"/>
  <c r="H37" i="6"/>
  <c r="H6" i="6"/>
  <c r="H38" i="6"/>
  <c r="H7" i="6"/>
  <c r="H39" i="6"/>
  <c r="H40" i="6"/>
  <c r="H9" i="6"/>
  <c r="H41" i="6"/>
  <c r="H10" i="6"/>
  <c r="H42" i="6"/>
  <c r="H11" i="6"/>
  <c r="H12" i="6"/>
  <c r="H44" i="6"/>
  <c r="H13" i="6"/>
  <c r="H46" i="6"/>
  <c r="H15" i="6"/>
  <c r="H47" i="6"/>
  <c r="H16" i="6"/>
  <c r="H17" i="6"/>
  <c r="H18" i="6"/>
  <c r="H50" i="6"/>
  <c r="H51" i="6"/>
  <c r="H20" i="6"/>
  <c r="H52" i="6"/>
  <c r="H53" i="6"/>
  <c r="H22" i="6"/>
  <c r="H23" i="6"/>
  <c r="H26" i="6"/>
  <c r="H27" i="6"/>
  <c r="H29" i="6"/>
  <c r="H31" i="6"/>
  <c r="H4" i="6"/>
  <c r="H43" i="6"/>
  <c r="H14" i="6"/>
  <c r="H48" i="6"/>
  <c r="H49" i="6"/>
  <c r="H19" i="6"/>
  <c r="H21" i="6"/>
  <c r="H24" i="6"/>
  <c r="H28" i="6"/>
  <c r="H32" i="6"/>
  <c r="H8" i="6"/>
  <c r="H25" i="6"/>
  <c r="H30" i="6"/>
  <c r="H34" i="6"/>
  <c r="H45" i="6"/>
  <c r="H33" i="6"/>
  <c r="Y2" i="6"/>
  <c r="Z2" i="6" s="1"/>
  <c r="AB2" i="6" s="1"/>
  <c r="AC2" i="6" s="1"/>
  <c r="B4" i="6"/>
  <c r="E13" i="6"/>
  <c r="A11" i="5"/>
  <c r="A13" i="5" s="1"/>
  <c r="E4" i="5"/>
  <c r="G2" i="6" l="1"/>
  <c r="G3" i="6"/>
  <c r="G35" i="6"/>
  <c r="G6" i="6"/>
  <c r="G39" i="6"/>
  <c r="G40" i="6"/>
  <c r="G41" i="6"/>
  <c r="G10" i="6"/>
  <c r="G43" i="6"/>
  <c r="G44" i="6"/>
  <c r="G45" i="6"/>
  <c r="G14" i="6"/>
  <c r="G47" i="6"/>
  <c r="G16" i="6"/>
  <c r="G49" i="6"/>
  <c r="G50" i="6"/>
  <c r="G20" i="6"/>
  <c r="G53" i="6"/>
  <c r="G24" i="6"/>
  <c r="G27" i="6"/>
  <c r="G30" i="6"/>
  <c r="G32" i="6"/>
  <c r="G4" i="6"/>
  <c r="G36" i="6"/>
  <c r="G37" i="6"/>
  <c r="G7" i="6"/>
  <c r="G8" i="6"/>
  <c r="G9" i="6"/>
  <c r="G42" i="6"/>
  <c r="G11" i="6"/>
  <c r="G12" i="6"/>
  <c r="G13" i="6"/>
  <c r="G46" i="6"/>
  <c r="G15" i="6"/>
  <c r="G48" i="6"/>
  <c r="G17" i="6"/>
  <c r="G18" i="6"/>
  <c r="G51" i="6"/>
  <c r="G52" i="6"/>
  <c r="G22" i="6"/>
  <c r="G25" i="6"/>
  <c r="G28" i="6"/>
  <c r="G31" i="6"/>
  <c r="G34" i="6"/>
  <c r="G5" i="6"/>
  <c r="G38" i="6"/>
  <c r="G19" i="6"/>
  <c r="G21" i="6"/>
  <c r="G23" i="6"/>
  <c r="G26" i="6"/>
  <c r="G29" i="6"/>
  <c r="G33" i="6"/>
  <c r="B4" i="5"/>
  <c r="G17" i="5" s="1"/>
  <c r="E13" i="5"/>
  <c r="A4" i="5"/>
  <c r="H37" i="5" s="1"/>
  <c r="G27" i="5" l="1"/>
  <c r="G8" i="5"/>
  <c r="G45" i="5"/>
  <c r="G34" i="5"/>
  <c r="G35" i="5"/>
  <c r="G47" i="5"/>
  <c r="G10" i="5"/>
  <c r="G38" i="5"/>
  <c r="G51" i="5"/>
  <c r="G6" i="5"/>
  <c r="G30" i="5"/>
  <c r="G41" i="5"/>
  <c r="G52" i="5"/>
  <c r="G15" i="5"/>
  <c r="G43" i="5"/>
  <c r="G50" i="5"/>
  <c r="G22" i="5"/>
  <c r="G21" i="5"/>
  <c r="G37" i="5"/>
  <c r="G9" i="5"/>
  <c r="G32" i="5"/>
  <c r="G33" i="5"/>
  <c r="G44" i="5"/>
  <c r="G4" i="5"/>
  <c r="G20" i="5"/>
  <c r="G42" i="5"/>
  <c r="G13" i="5"/>
  <c r="G19" i="5"/>
  <c r="G25" i="5"/>
  <c r="G7" i="5"/>
  <c r="G29" i="5"/>
  <c r="G16" i="5"/>
  <c r="G49" i="5"/>
  <c r="G14" i="5"/>
  <c r="G3" i="5"/>
  <c r="G48" i="5"/>
  <c r="G18" i="5"/>
  <c r="G40" i="5"/>
  <c r="G28" i="5"/>
  <c r="G36" i="5"/>
  <c r="G11" i="5"/>
  <c r="G39" i="5"/>
  <c r="G2" i="5"/>
  <c r="G53" i="5"/>
  <c r="G5" i="5"/>
  <c r="G12" i="5"/>
  <c r="G23" i="5"/>
  <c r="G31" i="5"/>
  <c r="G26" i="5"/>
  <c r="G46" i="5"/>
  <c r="G24" i="5"/>
  <c r="H39" i="5"/>
  <c r="H41" i="5"/>
  <c r="H53" i="5"/>
  <c r="H21" i="5"/>
  <c r="H25" i="5"/>
  <c r="H5" i="5"/>
  <c r="H30" i="5"/>
  <c r="H34" i="5"/>
  <c r="H45" i="5"/>
  <c r="H51" i="5"/>
  <c r="H40" i="5"/>
  <c r="H44" i="5"/>
  <c r="H27" i="5"/>
  <c r="H22" i="5"/>
  <c r="H49" i="5"/>
  <c r="H32" i="5"/>
  <c r="H28" i="5"/>
  <c r="H50" i="5"/>
  <c r="H52" i="5"/>
  <c r="H13" i="5"/>
  <c r="H46" i="5"/>
  <c r="H23" i="5"/>
  <c r="H36" i="5"/>
  <c r="H7" i="5"/>
  <c r="H2" i="5"/>
  <c r="H48" i="5"/>
  <c r="H47" i="5"/>
  <c r="H29" i="5"/>
  <c r="H43" i="5"/>
  <c r="H26" i="5"/>
  <c r="H31" i="5"/>
  <c r="H6" i="5"/>
  <c r="H12" i="5"/>
  <c r="H15" i="5"/>
  <c r="H18" i="5"/>
  <c r="H42" i="5"/>
  <c r="H38" i="5"/>
  <c r="H8" i="5"/>
  <c r="H19" i="5"/>
  <c r="H14" i="5"/>
  <c r="H10" i="5"/>
  <c r="H35" i="5"/>
  <c r="H4" i="5"/>
  <c r="H17" i="5"/>
  <c r="H11" i="5"/>
  <c r="H3" i="5"/>
  <c r="H20" i="5"/>
  <c r="H9" i="5"/>
  <c r="H24" i="5"/>
  <c r="H16" i="5"/>
  <c r="H33"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<sst xmlns="http://schemas.openxmlformats.org/spreadsheetml/2006/main" count="188" uniqueCount="125">
  <si>
    <t>t</t>
    <phoneticPr fontId="1" type="noConversion"/>
  </si>
  <si>
    <t>x</t>
    <phoneticPr fontId="1" type="noConversion"/>
  </si>
  <si>
    <t>y</t>
    <phoneticPr fontId="1" type="noConversion"/>
  </si>
  <si>
    <t>一个绝对量：相对位移(x,y)</t>
    <phoneticPr fontId="1" type="noConversion"/>
  </si>
  <si>
    <t>识别到的风力到真风力，有转换系数</t>
    <phoneticPr fontId="1" type="noConversion"/>
  </si>
  <si>
    <t>算出来的速度到力度，有转换系数</t>
    <phoneticPr fontId="1" type="noConversion"/>
  </si>
  <si>
    <r>
      <t>g</t>
    </r>
    <r>
      <rPr>
        <sz val="11"/>
        <color theme="1"/>
        <rFont val="宋体"/>
        <family val="3"/>
        <charset val="134"/>
      </rPr>
      <t>、</t>
    </r>
    <r>
      <rPr>
        <sz val="11"/>
        <color theme="1"/>
        <rFont val="Tahoma"/>
        <family val="2"/>
        <charset val="134"/>
      </rPr>
      <t>k</t>
    </r>
    <r>
      <rPr>
        <sz val="11"/>
        <color theme="1"/>
        <rFont val="宋体"/>
        <family val="3"/>
        <charset val="134"/>
      </rPr>
      <t>自带转换系数，不需要另设</t>
    </r>
    <phoneticPr fontId="1" type="noConversion"/>
  </si>
  <si>
    <t>a修正系数</t>
    <phoneticPr fontId="1" type="noConversion"/>
  </si>
  <si>
    <t>由高抛公式：真实a满足：tan(2a)=a/|g|</t>
  </si>
  <si>
    <r>
      <rPr>
        <sz val="11"/>
        <color theme="1"/>
        <rFont val="宋体"/>
        <family val="3"/>
        <charset val="134"/>
      </rPr>
      <t>解得</t>
    </r>
    <r>
      <rPr>
        <sz val="11"/>
        <color theme="1"/>
        <rFont val="Tahoma"/>
        <family val="2"/>
        <charset val="134"/>
      </rPr>
      <t>a=1</t>
    </r>
    <r>
      <rPr>
        <sz val="11"/>
        <color theme="1"/>
        <rFont val="宋体"/>
        <family val="3"/>
        <charset val="134"/>
      </rPr>
      <t>时候，</t>
    </r>
    <r>
      <rPr>
        <sz val="11"/>
        <color theme="1"/>
        <rFont val="Tahoma"/>
        <family val="2"/>
        <charset val="134"/>
      </rPr>
      <t>|g|</t>
    </r>
    <r>
      <rPr>
        <sz val="11"/>
        <color theme="1"/>
        <rFont val="宋体"/>
        <family val="3"/>
        <charset val="134"/>
      </rPr>
      <t>约为</t>
    </r>
    <r>
      <rPr>
        <sz val="11"/>
        <color theme="1"/>
        <rFont val="Tahoma"/>
        <family val="2"/>
        <charset val="134"/>
      </rPr>
      <t>28</t>
    </r>
  </si>
  <si>
    <t>距离因子</t>
    <phoneticPr fontId="1" type="noConversion"/>
  </si>
  <si>
    <t>可变值t0</t>
    <phoneticPr fontId="1" type="noConversion"/>
  </si>
  <si>
    <t>反解目标</t>
    <phoneticPr fontId="1" type="noConversion"/>
  </si>
  <si>
    <r>
      <rPr>
        <sz val="11"/>
        <color rgb="FFFF0000"/>
        <rFont val="宋体"/>
        <family val="3"/>
        <charset val="134"/>
      </rPr>
      <t>目标值</t>
    </r>
    <r>
      <rPr>
        <sz val="11"/>
        <color rgb="FFFF0000"/>
        <rFont val="Tahoma"/>
        <family val="2"/>
        <charset val="134"/>
      </rPr>
      <t>M</t>
    </r>
    <phoneticPr fontId="1" type="noConversion"/>
  </si>
  <si>
    <r>
      <rPr>
        <sz val="11"/>
        <color rgb="FFFF0000"/>
        <rFont val="宋体"/>
        <family val="3"/>
        <charset val="134"/>
      </rPr>
      <t>输出值</t>
    </r>
    <r>
      <rPr>
        <sz val="11"/>
        <color rgb="FFFF0000"/>
        <rFont val="Tahoma"/>
        <family val="2"/>
        <charset val="134"/>
      </rPr>
      <t>v0</t>
    </r>
    <phoneticPr fontId="1" type="noConversion"/>
  </si>
  <si>
    <t>k</t>
    <phoneticPr fontId="1" type="noConversion"/>
  </si>
  <si>
    <t>g</t>
    <phoneticPr fontId="1" type="noConversion"/>
  </si>
  <si>
    <t>力度修正</t>
    <phoneticPr fontId="1" type="noConversion"/>
  </si>
  <si>
    <t>考虑r程度</t>
    <phoneticPr fontId="1" type="noConversion"/>
  </si>
  <si>
    <t>出手半径r</t>
    <phoneticPr fontId="1" type="noConversion"/>
  </si>
  <si>
    <t>相对位移x</t>
    <phoneticPr fontId="1" type="noConversion"/>
  </si>
  <si>
    <t>相对位移y</t>
    <phoneticPr fontId="1" type="noConversion"/>
  </si>
  <si>
    <r>
      <rPr>
        <sz val="11"/>
        <color theme="9" tint="-0.499984740745262"/>
        <rFont val="宋体"/>
        <family val="3"/>
        <charset val="134"/>
      </rPr>
      <t>风力</t>
    </r>
    <r>
      <rPr>
        <sz val="11"/>
        <color theme="9" tint="-0.499984740745262"/>
        <rFont val="Tahoma"/>
        <family val="2"/>
        <charset val="134"/>
      </rPr>
      <t>a</t>
    </r>
    <phoneticPr fontId="1" type="noConversion"/>
  </si>
  <si>
    <t>Vy</t>
    <phoneticPr fontId="1" type="noConversion"/>
  </si>
  <si>
    <t>Vx</t>
    <phoneticPr fontId="1" type="noConversion"/>
  </si>
  <si>
    <t>力度</t>
    <phoneticPr fontId="1" type="noConversion"/>
  </si>
  <si>
    <t>角度因子1</t>
    <phoneticPr fontId="1" type="noConversion"/>
  </si>
  <si>
    <t>角度因子2</t>
    <phoneticPr fontId="1" type="noConversion"/>
  </si>
  <si>
    <r>
      <rPr>
        <sz val="11"/>
        <color theme="1"/>
        <rFont val="宋体"/>
        <family val="3"/>
        <charset val="134"/>
      </rPr>
      <t>但这样一来，想</t>
    </r>
    <r>
      <rPr>
        <sz val="11"/>
        <color theme="1"/>
        <rFont val="Tahoma"/>
        <family val="2"/>
        <charset val="134"/>
      </rPr>
      <t>90</t>
    </r>
    <r>
      <rPr>
        <sz val="11"/>
        <color theme="1"/>
        <rFont val="宋体"/>
        <family val="3"/>
        <charset val="134"/>
      </rPr>
      <t>多度下，正向顺风攻击敌方的想法会受到限制。不过应只有这一点。——这是因为所有大于</t>
    </r>
    <r>
      <rPr>
        <sz val="11"/>
        <color theme="1"/>
        <rFont val="Tahoma"/>
        <family val="2"/>
        <charset val="134"/>
      </rPr>
      <t>90°</t>
    </r>
    <r>
      <rPr>
        <sz val="11"/>
        <color theme="1"/>
        <rFont val="宋体"/>
        <family val="3"/>
        <charset val="134"/>
      </rPr>
      <t>的行动会被均认为为反抛。</t>
    </r>
    <phoneticPr fontId="1" type="noConversion"/>
  </si>
  <si>
    <t>新原点x0</t>
    <phoneticPr fontId="1" type="noConversion"/>
  </si>
  <si>
    <r>
      <rPr>
        <sz val="11"/>
        <color rgb="FF00B050"/>
        <rFont val="宋体"/>
        <family val="3"/>
        <charset val="134"/>
      </rPr>
      <t>新原点</t>
    </r>
    <r>
      <rPr>
        <sz val="11"/>
        <color rgb="FF00B050"/>
        <rFont val="Tahoma"/>
        <family val="2"/>
        <charset val="134"/>
      </rPr>
      <t>y0</t>
    </r>
    <phoneticPr fontId="1" type="noConversion"/>
  </si>
  <si>
    <r>
      <rPr>
        <sz val="11"/>
        <color rgb="FF007635"/>
        <rFont val="宋体"/>
        <family val="3"/>
        <charset val="134"/>
      </rPr>
      <t>修正位移</t>
    </r>
    <r>
      <rPr>
        <sz val="11"/>
        <color rgb="FF007635"/>
        <rFont val="Tahoma"/>
        <family val="2"/>
        <charset val="134"/>
      </rPr>
      <t>x</t>
    </r>
    <phoneticPr fontId="1" type="noConversion"/>
  </si>
  <si>
    <r>
      <rPr>
        <sz val="11"/>
        <color rgb="FF007635"/>
        <rFont val="宋体"/>
        <family val="3"/>
        <charset val="134"/>
      </rPr>
      <t>修正位移</t>
    </r>
    <r>
      <rPr>
        <sz val="11"/>
        <color rgb="FF007635"/>
        <rFont val="Tahoma"/>
        <family val="2"/>
        <charset val="134"/>
      </rPr>
      <t>y</t>
    </r>
    <phoneticPr fontId="1" type="noConversion"/>
  </si>
  <si>
    <t>防无解功能</t>
    <phoneticPr fontId="1" type="noConversion"/>
  </si>
  <si>
    <t>角度α</t>
    <phoneticPr fontId="1" type="noConversion"/>
  </si>
  <si>
    <t>出手点进一步修正</t>
    <phoneticPr fontId="1" type="noConversion"/>
  </si>
  <si>
    <t>出手点半径</t>
    <phoneticPr fontId="1" type="noConversion"/>
  </si>
  <si>
    <t>坡度(自己估计值)</t>
    <phoneticPr fontId="1" type="noConversion"/>
  </si>
  <si>
    <t>坡度(精确值)</t>
    <phoneticPr fontId="1" type="noConversion"/>
  </si>
  <si>
    <t>所带武器平地最低角</t>
    <phoneticPr fontId="1" type="noConversion"/>
  </si>
  <si>
    <t>请输入当前最低角</t>
    <phoneticPr fontId="1" type="noConversion"/>
  </si>
  <si>
    <t>平地出手点方向</t>
    <phoneticPr fontId="1" type="noConversion"/>
  </si>
  <si>
    <t>平地出手点坐标</t>
    <phoneticPr fontId="1" type="noConversion"/>
  </si>
  <si>
    <t>未采用</t>
    <phoneticPr fontId="1" type="noConversion"/>
  </si>
  <si>
    <t>采用</t>
    <phoneticPr fontId="1" type="noConversion"/>
  </si>
  <si>
    <t>坡度采用情况</t>
    <phoneticPr fontId="1" type="noConversion"/>
  </si>
  <si>
    <r>
      <t>(sin</t>
    </r>
    <r>
      <rPr>
        <sz val="11"/>
        <color theme="1"/>
        <rFont val="宋体"/>
        <family val="3"/>
        <charset val="134"/>
      </rPr>
      <t>用于进一步削弱指数部分在低角度部分数值</t>
    </r>
    <r>
      <rPr>
        <sz val="11"/>
        <color theme="1"/>
        <rFont val="Tahoma"/>
        <family val="2"/>
        <charset val="134"/>
      </rPr>
      <t>(</t>
    </r>
    <r>
      <rPr>
        <sz val="11"/>
        <color theme="1"/>
        <rFont val="宋体"/>
        <family val="3"/>
        <charset val="134"/>
      </rPr>
      <t>而保留高角度数值</t>
    </r>
    <r>
      <rPr>
        <sz val="11"/>
        <color theme="1"/>
        <rFont val="Tahoma"/>
        <family val="2"/>
        <charset val="134"/>
      </rPr>
      <t>)</t>
    </r>
    <r>
      <rPr>
        <sz val="11"/>
        <color theme="1"/>
        <rFont val="宋体"/>
        <family val="3"/>
        <charset val="134"/>
      </rPr>
      <t>，进而增大负指数总体在低角度部分的幅值，更快地达到低角度系数趋近于</t>
    </r>
    <r>
      <rPr>
        <sz val="11"/>
        <color theme="1"/>
        <rFont val="Tahoma"/>
        <family val="2"/>
        <charset val="134"/>
      </rPr>
      <t>1</t>
    </r>
    <r>
      <rPr>
        <sz val="11"/>
        <color theme="1"/>
        <rFont val="宋体"/>
        <family val="3"/>
        <charset val="134"/>
      </rPr>
      <t>的要求；</t>
    </r>
    <r>
      <rPr>
        <sz val="11"/>
        <color theme="1"/>
        <rFont val="Tahoma"/>
        <family val="2"/>
        <charset val="134"/>
      </rPr>
      <t>tan</t>
    </r>
    <r>
      <rPr>
        <sz val="11"/>
        <color theme="1"/>
        <rFont val="宋体"/>
        <family val="3"/>
        <charset val="134"/>
      </rPr>
      <t>用于进一步</t>
    </r>
    <r>
      <rPr>
        <sz val="11"/>
        <color theme="1"/>
        <rFont val="Tahoma"/>
        <family val="2"/>
        <charset val="134"/>
      </rPr>
      <t>enhance</t>
    </r>
    <r>
      <rPr>
        <sz val="11"/>
        <color theme="1"/>
        <rFont val="宋体"/>
        <family val="3"/>
        <charset val="134"/>
      </rPr>
      <t>增强指数部分的高角度部分</t>
    </r>
    <r>
      <rPr>
        <sz val="11"/>
        <color theme="1"/>
        <rFont val="Tahoma"/>
        <family val="2"/>
        <charset val="134"/>
      </rPr>
      <t>(</t>
    </r>
    <r>
      <rPr>
        <sz val="11"/>
        <color theme="1"/>
        <rFont val="宋体"/>
        <family val="3"/>
        <charset val="134"/>
      </rPr>
      <t>而不影响低角度极限为</t>
    </r>
    <r>
      <rPr>
        <sz val="11"/>
        <color theme="1"/>
        <rFont val="Tahoma"/>
        <family val="2"/>
        <charset val="134"/>
      </rPr>
      <t>0</t>
    </r>
    <r>
      <rPr>
        <sz val="11"/>
        <color theme="1"/>
        <rFont val="宋体"/>
        <family val="3"/>
        <charset val="134"/>
      </rPr>
      <t>，虽</t>
    </r>
    <r>
      <rPr>
        <sz val="11"/>
        <color theme="1"/>
        <rFont val="Tahoma"/>
        <family val="2"/>
        <charset val="134"/>
      </rPr>
      <t>tan</t>
    </r>
    <r>
      <rPr>
        <sz val="11"/>
        <color theme="1"/>
        <rFont val="宋体"/>
        <family val="3"/>
        <charset val="134"/>
      </rPr>
      <t>的低角度极限也为</t>
    </r>
    <r>
      <rPr>
        <sz val="11"/>
        <color theme="1"/>
        <rFont val="Tahoma"/>
        <family val="2"/>
        <charset val="134"/>
      </rPr>
      <t>0</t>
    </r>
    <r>
      <rPr>
        <sz val="11"/>
        <color theme="1"/>
        <rFont val="宋体"/>
        <family val="3"/>
        <charset val="134"/>
      </rPr>
      <t>，但比</t>
    </r>
    <r>
      <rPr>
        <sz val="11"/>
        <color theme="1"/>
        <rFont val="Tahoma"/>
        <family val="2"/>
        <charset val="134"/>
      </rPr>
      <t>sin</t>
    </r>
    <r>
      <rPr>
        <sz val="11"/>
        <color theme="1"/>
        <rFont val="宋体"/>
        <family val="3"/>
        <charset val="134"/>
      </rPr>
      <t>大</t>
    </r>
    <r>
      <rPr>
        <sz val="11"/>
        <color theme="1"/>
        <rFont val="Tahoma"/>
        <family val="2"/>
        <charset val="134"/>
      </rPr>
      <t>)</t>
    </r>
    <r>
      <rPr>
        <sz val="11"/>
        <color theme="1"/>
        <rFont val="宋体"/>
        <family val="3"/>
        <charset val="134"/>
      </rPr>
      <t>，进而削弱出手半径对高角度抛射的影响因子，更快地达到此时系数趋近于</t>
    </r>
    <r>
      <rPr>
        <sz val="11"/>
        <color theme="1"/>
        <rFont val="Tahoma"/>
        <family val="2"/>
        <charset val="134"/>
      </rPr>
      <t>0</t>
    </r>
    <r>
      <rPr>
        <sz val="11"/>
        <color theme="1"/>
        <rFont val="宋体"/>
        <family val="3"/>
        <charset val="134"/>
      </rPr>
      <t>的要求；从而实现两极分化的图景</t>
    </r>
    <r>
      <rPr>
        <sz val="11"/>
        <color theme="1"/>
        <rFont val="Tahoma"/>
        <family val="2"/>
        <charset val="134"/>
      </rPr>
      <t>)</t>
    </r>
    <phoneticPr fontId="1" type="noConversion"/>
  </si>
  <si>
    <r>
      <t>(</t>
    </r>
    <r>
      <rPr>
        <sz val="11"/>
        <color theme="1"/>
        <rFont val="宋体"/>
        <family val="3"/>
        <charset val="134"/>
      </rPr>
      <t>用于纪念，未采用；之后我把</t>
    </r>
    <r>
      <rPr>
        <sz val="11"/>
        <color theme="1"/>
        <rFont val="Tahoma"/>
        <family val="2"/>
        <charset val="134"/>
      </rPr>
      <t>cos</t>
    </r>
    <r>
      <rPr>
        <sz val="11"/>
        <color theme="1"/>
        <rFont val="宋体"/>
        <family val="3"/>
        <charset val="134"/>
      </rPr>
      <t>改为了负指数形式，它们均是自变量→</t>
    </r>
    <r>
      <rPr>
        <sz val="11"/>
        <color theme="1"/>
        <rFont val="Tahoma"/>
        <family val="2"/>
        <charset val="134"/>
      </rPr>
      <t>0</t>
    </r>
    <r>
      <rPr>
        <sz val="11"/>
        <color theme="1"/>
        <rFont val="宋体"/>
        <family val="3"/>
        <charset val="134"/>
      </rPr>
      <t>时函数值趋近于</t>
    </r>
    <r>
      <rPr>
        <sz val="11"/>
        <color theme="1"/>
        <rFont val="Tahoma"/>
        <family val="2"/>
        <charset val="134"/>
      </rPr>
      <t>1</t>
    </r>
    <r>
      <rPr>
        <sz val="11"/>
        <color theme="1"/>
        <rFont val="宋体"/>
        <family val="3"/>
        <charset val="134"/>
      </rPr>
      <t>，自变量趋近于某值时函数值→</t>
    </r>
    <r>
      <rPr>
        <sz val="11"/>
        <color theme="1"/>
        <rFont val="Tahoma"/>
        <family val="2"/>
        <charset val="134"/>
      </rPr>
      <t>0</t>
    </r>
    <r>
      <rPr>
        <sz val="11"/>
        <color theme="1"/>
        <rFont val="宋体"/>
        <family val="3"/>
        <charset val="134"/>
      </rPr>
      <t>，该值对于</t>
    </r>
    <r>
      <rPr>
        <sz val="11"/>
        <color theme="1"/>
        <rFont val="Tahoma"/>
        <family val="2"/>
        <charset val="134"/>
      </rPr>
      <t>cos</t>
    </r>
    <r>
      <rPr>
        <sz val="11"/>
        <color theme="1"/>
        <rFont val="宋体"/>
        <family val="3"/>
        <charset val="134"/>
      </rPr>
      <t>来说是π</t>
    </r>
    <r>
      <rPr>
        <sz val="11"/>
        <color theme="1"/>
        <rFont val="Tahoma"/>
        <family val="2"/>
        <charset val="134"/>
      </rPr>
      <t>/2</t>
    </r>
    <r>
      <rPr>
        <sz val="11"/>
        <color theme="1"/>
        <rFont val="宋体"/>
        <family val="3"/>
        <charset val="134"/>
      </rPr>
      <t>，对于负指数来说，是无穷大；于是我们用</t>
    </r>
    <r>
      <rPr>
        <sz val="11"/>
        <color theme="1"/>
        <rFont val="Tahoma"/>
        <family val="2"/>
        <charset val="134"/>
      </rPr>
      <t>sintan</t>
    </r>
    <r>
      <rPr>
        <sz val="11"/>
        <color theme="1"/>
        <rFont val="宋体"/>
        <family val="3"/>
        <charset val="134"/>
      </rPr>
      <t>相乘的形式作为负指数的自变量</t>
    </r>
    <r>
      <rPr>
        <sz val="11"/>
        <color theme="1"/>
        <rFont val="Tahoma"/>
        <family val="2"/>
        <charset val="134"/>
      </rPr>
      <t>(</t>
    </r>
    <r>
      <rPr>
        <sz val="11"/>
        <color theme="1"/>
        <rFont val="宋体"/>
        <family val="3"/>
        <charset val="134"/>
      </rPr>
      <t>指数部分</t>
    </r>
    <r>
      <rPr>
        <sz val="11"/>
        <color theme="1"/>
        <rFont val="Tahoma"/>
        <family val="2"/>
        <charset val="134"/>
      </rPr>
      <t>)</t>
    </r>
    <r>
      <rPr>
        <sz val="11"/>
        <color theme="1"/>
        <rFont val="宋体"/>
        <family val="3"/>
        <charset val="134"/>
      </rPr>
      <t>，让负指数随着真正的自变量——角度的增加，而更快地趋近于</t>
    </r>
    <r>
      <rPr>
        <sz val="11"/>
        <color theme="1"/>
        <rFont val="Tahoma"/>
        <family val="2"/>
        <charset val="134"/>
      </rPr>
      <t>0</t>
    </r>
    <r>
      <rPr>
        <sz val="11"/>
        <color theme="1"/>
        <rFont val="宋体"/>
        <family val="3"/>
        <charset val="134"/>
      </rPr>
      <t>，即使得高角度时，出手半径的影响比原先低很多</t>
    </r>
    <r>
      <rPr>
        <sz val="11"/>
        <color theme="1"/>
        <rFont val="Tahoma"/>
        <family val="2"/>
        <charset val="134"/>
      </rPr>
      <t>)</t>
    </r>
    <phoneticPr fontId="1" type="noConversion"/>
  </si>
  <si>
    <r>
      <rPr>
        <sz val="11"/>
        <color theme="1"/>
        <rFont val="宋体"/>
        <family val="3"/>
        <charset val="134"/>
      </rPr>
      <t>防无解功能是针对当时只能单个数据单个数据地按照一定的先后次序，顺序输入</t>
    </r>
    <r>
      <rPr>
        <sz val="11"/>
        <color theme="1"/>
        <rFont val="Tahoma"/>
        <family val="2"/>
        <charset val="134"/>
      </rPr>
      <t>4</t>
    </r>
    <r>
      <rPr>
        <sz val="11"/>
        <color theme="1"/>
        <rFont val="宋体"/>
        <family val="3"/>
        <charset val="134"/>
      </rPr>
      <t>个数据，此时可能会导致其中两个数据相互矛盾，以至于数据出错</t>
    </r>
    <r>
      <rPr>
        <sz val="11"/>
        <color theme="1"/>
        <rFont val="Tahoma"/>
        <family val="2"/>
        <charset val="134"/>
      </rPr>
      <t>/</t>
    </r>
    <r>
      <rPr>
        <sz val="11"/>
        <color theme="1"/>
        <rFont val="宋体"/>
        <family val="3"/>
        <charset val="134"/>
      </rPr>
      <t>溢出，比如角度是</t>
    </r>
    <r>
      <rPr>
        <sz val="11"/>
        <color theme="1"/>
        <rFont val="Tahoma"/>
        <family val="2"/>
        <charset val="134"/>
      </rPr>
      <t>&lt;90</t>
    </r>
    <r>
      <rPr>
        <sz val="11"/>
        <color theme="1"/>
        <rFont val="宋体"/>
        <family val="3"/>
        <charset val="134"/>
      </rPr>
      <t>的但</t>
    </r>
    <r>
      <rPr>
        <sz val="11"/>
        <color theme="1"/>
        <rFont val="Tahoma"/>
        <family val="2"/>
        <charset val="134"/>
      </rPr>
      <t>x2-x1</t>
    </r>
    <r>
      <rPr>
        <sz val="11"/>
        <color theme="1"/>
        <rFont val="宋体"/>
        <family val="3"/>
        <charset val="134"/>
      </rPr>
      <t>却是负的；或者角度是</t>
    </r>
    <r>
      <rPr>
        <sz val="11"/>
        <color theme="1"/>
        <rFont val="Tahoma"/>
        <family val="2"/>
        <charset val="134"/>
      </rPr>
      <t>&gt;90</t>
    </r>
    <r>
      <rPr>
        <sz val="11"/>
        <color theme="1"/>
        <rFont val="宋体"/>
        <family val="3"/>
        <charset val="134"/>
      </rPr>
      <t>的但</t>
    </r>
    <r>
      <rPr>
        <sz val="11"/>
        <color theme="1"/>
        <rFont val="Tahoma"/>
        <family val="2"/>
        <charset val="134"/>
      </rPr>
      <t>x2-x1</t>
    </r>
    <r>
      <rPr>
        <sz val="11"/>
        <color theme="1"/>
        <rFont val="宋体"/>
        <family val="3"/>
        <charset val="134"/>
      </rPr>
      <t>是正的；</t>
    </r>
    <r>
      <rPr>
        <sz val="11"/>
        <color theme="1"/>
        <rFont val="Tahoma"/>
        <family val="2"/>
        <charset val="134"/>
      </rPr>
      <t>(</t>
    </r>
    <r>
      <rPr>
        <sz val="11"/>
        <color theme="1"/>
        <rFont val="宋体"/>
        <family val="3"/>
        <charset val="134"/>
      </rPr>
      <t>这些都对应着角度信息的及时更新是渐变的</t>
    </r>
    <r>
      <rPr>
        <sz val="11"/>
        <color theme="1"/>
        <rFont val="Tahoma"/>
        <family val="2"/>
        <charset val="134"/>
      </rPr>
      <t>(</t>
    </r>
    <r>
      <rPr>
        <sz val="11"/>
        <color theme="1"/>
        <rFont val="宋体"/>
        <family val="3"/>
        <charset val="134"/>
      </rPr>
      <t>对于页游辅助来说</t>
    </r>
    <r>
      <rPr>
        <sz val="11"/>
        <color theme="1"/>
        <rFont val="Tahoma"/>
        <family val="2"/>
        <charset val="134"/>
      </rPr>
      <t>)</t>
    </r>
    <r>
      <rPr>
        <sz val="11"/>
        <color theme="1"/>
        <rFont val="宋体"/>
        <family val="3"/>
        <charset val="134"/>
      </rPr>
      <t>，有个越过</t>
    </r>
    <r>
      <rPr>
        <sz val="11"/>
        <color theme="1"/>
        <rFont val="Tahoma"/>
        <family val="2"/>
        <charset val="134"/>
      </rPr>
      <t>90°</t>
    </r>
    <r>
      <rPr>
        <sz val="11"/>
        <color theme="1"/>
        <rFont val="宋体"/>
        <family val="3"/>
        <charset val="134"/>
      </rPr>
      <t>的过程，因而若在角度越过</t>
    </r>
    <r>
      <rPr>
        <sz val="11"/>
        <color theme="1"/>
        <rFont val="Tahoma"/>
        <family val="2"/>
        <charset val="134"/>
      </rPr>
      <t>90°</t>
    </r>
    <r>
      <rPr>
        <sz val="11"/>
        <color theme="1"/>
        <rFont val="宋体"/>
        <family val="3"/>
        <charset val="134"/>
      </rPr>
      <t>之前，改变自身朝向而使得自身</t>
    </r>
    <r>
      <rPr>
        <sz val="11"/>
        <color theme="1"/>
        <rFont val="Tahoma"/>
        <family val="2"/>
        <charset val="134"/>
      </rPr>
      <t>(x</t>
    </r>
    <r>
      <rPr>
        <sz val="11"/>
        <color theme="1"/>
        <rFont val="宋体"/>
        <family val="3"/>
        <charset val="134"/>
      </rPr>
      <t>轴</t>
    </r>
    <r>
      <rPr>
        <sz val="11"/>
        <color theme="1"/>
        <rFont val="Tahoma"/>
        <family val="2"/>
        <charset val="134"/>
      </rPr>
      <t>)</t>
    </r>
    <r>
      <rPr>
        <sz val="11"/>
        <color theme="1"/>
        <rFont val="宋体"/>
        <family val="3"/>
        <charset val="134"/>
      </rPr>
      <t>不再正对对方时，就会无解</t>
    </r>
    <r>
      <rPr>
        <sz val="11"/>
        <color theme="1"/>
        <rFont val="Tahoma"/>
        <family val="2"/>
        <charset val="134"/>
      </rPr>
      <t>)</t>
    </r>
    <r>
      <rPr>
        <sz val="11"/>
        <color theme="1"/>
        <rFont val="宋体"/>
        <family val="3"/>
        <charset val="134"/>
      </rPr>
      <t>它们的物理图景本身就是不可能打中的</t>
    </r>
    <r>
      <rPr>
        <sz val="11"/>
        <color theme="1"/>
        <rFont val="Tahoma"/>
        <family val="2"/>
        <charset val="134"/>
      </rPr>
      <t>/</t>
    </r>
    <r>
      <rPr>
        <sz val="11"/>
        <color theme="1"/>
        <rFont val="宋体"/>
        <family val="3"/>
        <charset val="134"/>
      </rPr>
      <t>无解的。当然，也有可能是事先把角度调得越过</t>
    </r>
    <r>
      <rPr>
        <sz val="11"/>
        <color theme="1"/>
        <rFont val="Tahoma"/>
        <family val="2"/>
        <charset val="134"/>
      </rPr>
      <t>90°</t>
    </r>
    <r>
      <rPr>
        <sz val="11"/>
        <color theme="1"/>
        <rFont val="宋体"/>
        <family val="3"/>
        <charset val="134"/>
      </rPr>
      <t>，然后再调整</t>
    </r>
    <r>
      <rPr>
        <sz val="11"/>
        <color theme="1"/>
        <rFont val="Tahoma"/>
        <family val="2"/>
        <charset val="134"/>
      </rPr>
      <t>x=x2-x1</t>
    </r>
    <r>
      <rPr>
        <sz val="11"/>
        <color theme="1"/>
        <rFont val="宋体"/>
        <family val="3"/>
        <charset val="134"/>
      </rPr>
      <t>的正负，这仍然会造成无解。</t>
    </r>
    <phoneticPr fontId="1" type="noConversion"/>
  </si>
  <si>
    <r>
      <t>(</t>
    </r>
    <r>
      <rPr>
        <sz val="11"/>
        <color theme="1"/>
        <rFont val="宋体"/>
        <family val="3"/>
        <charset val="134"/>
      </rPr>
      <t>像角度一样，距离越远、角度越高，出手半径得越小；距离越近、角度越低，出手半径得越大</t>
    </r>
    <r>
      <rPr>
        <sz val="11"/>
        <color theme="1"/>
        <rFont val="Tahoma"/>
        <family val="2"/>
        <charset val="134"/>
      </rPr>
      <t>)</t>
    </r>
    <phoneticPr fontId="1" type="noConversion"/>
  </si>
  <si>
    <t>咱这个图，相当于先将我方背对敌方时的坐标量，改写为我方正对敌方时的坐标量(但两者曲线是一样的，只是不同的自己的坐标系下，对风力、x=x2-x1、角度三者的描述/给出值的正负(针对风力和x)和大小(针对角度关于90°镜面对称)不同)，但是注意，坐标系中的所有物理量和实物均不跟着自身坐标系x轴的改变而翻折；然后再将所有我方正对敌方时的抛物线图景，“再”进行左右翻折，使得x轴原本朝左边的自己坐标系翻折为x轴朝着右边(之前是使得原本背离对方的x轴，变得朝向对方，并没有保证到底朝着左还是右，这取决于对方相对于你在你的何方)，并且坐标系中的所有物理量和实物此时均视为固定在坐标系上(之前并不以之为背景，而是坐标系与它们独立，它们并不跟着坐标系翻转)，并跟着翻折，即得到了如上所示的图。</t>
    <phoneticPr fontId="1" type="noConversion"/>
  </si>
  <si>
    <r>
      <t>(</t>
    </r>
    <r>
      <rPr>
        <sz val="11"/>
        <color theme="1"/>
        <rFont val="宋体"/>
        <family val="3"/>
        <charset val="134"/>
      </rPr>
      <t>即将人物中心作为子弹出射原点，修正为枪口作为出射原点；期间要考虑绝对原点</t>
    </r>
    <r>
      <rPr>
        <sz val="11"/>
        <color theme="1"/>
        <rFont val="Tahoma"/>
        <family val="2"/>
        <charset val="134"/>
      </rPr>
      <t>[</t>
    </r>
    <r>
      <rPr>
        <sz val="11"/>
        <color theme="1"/>
        <rFont val="宋体"/>
        <family val="3"/>
        <charset val="134"/>
      </rPr>
      <t>即手游中</t>
    </r>
    <r>
      <rPr>
        <sz val="11"/>
        <color theme="1"/>
        <rFont val="Tahoma"/>
        <family val="2"/>
        <charset val="134"/>
      </rPr>
      <t>(0,0)</t>
    </r>
    <r>
      <rPr>
        <sz val="11"/>
        <color theme="1"/>
        <rFont val="宋体"/>
        <family val="3"/>
        <charset val="134"/>
      </rPr>
      <t>位置处：</t>
    </r>
    <r>
      <rPr>
        <sz val="11"/>
        <color theme="1"/>
        <rFont val="Tahoma"/>
        <family val="2"/>
        <charset val="134"/>
      </rPr>
      <t>(F8/10,E9)]</t>
    </r>
    <r>
      <rPr>
        <sz val="11"/>
        <color theme="1"/>
        <rFont val="宋体"/>
        <family val="3"/>
        <charset val="134"/>
      </rPr>
      <t>、角度调整所绕点旋转的点</t>
    </r>
    <r>
      <rPr>
        <sz val="11"/>
        <color theme="1"/>
        <rFont val="Tahoma"/>
        <family val="2"/>
        <charset val="134"/>
      </rPr>
      <t>[</t>
    </r>
    <r>
      <rPr>
        <sz val="11"/>
        <color theme="1"/>
        <rFont val="宋体"/>
        <family val="3"/>
        <charset val="134"/>
      </rPr>
      <t>由平地的自身坐标系下的</t>
    </r>
    <r>
      <rPr>
        <sz val="11"/>
        <color theme="1"/>
        <rFont val="Tahoma"/>
        <family val="2"/>
        <charset val="134"/>
      </rPr>
      <t>(-0.3,0.3)</t>
    </r>
    <r>
      <rPr>
        <sz val="11"/>
        <color theme="1"/>
        <rFont val="宋体"/>
        <family val="3"/>
        <charset val="134"/>
      </rPr>
      <t>和坡度</t>
    </r>
    <r>
      <rPr>
        <sz val="11"/>
        <color theme="1"/>
        <rFont val="Tahoma"/>
        <family val="2"/>
        <charset val="134"/>
      </rPr>
      <t>(</t>
    </r>
    <r>
      <rPr>
        <sz val="11"/>
        <color theme="1"/>
        <rFont val="宋体"/>
        <family val="3"/>
        <charset val="134"/>
      </rPr>
      <t>使得该点绕绝对原点旋转</t>
    </r>
    <r>
      <rPr>
        <sz val="11"/>
        <color theme="1"/>
        <rFont val="Tahoma"/>
        <family val="2"/>
        <charset val="134"/>
      </rPr>
      <t>)</t>
    </r>
    <r>
      <rPr>
        <sz val="11"/>
        <color theme="1"/>
        <rFont val="宋体"/>
        <family val="3"/>
        <charset val="134"/>
      </rPr>
      <t>构成：</t>
    </r>
    <r>
      <rPr>
        <sz val="11"/>
        <color theme="1"/>
        <rFont val="Tahoma"/>
        <family val="2"/>
        <charset val="134"/>
      </rPr>
      <t>(A8,B8)]</t>
    </r>
    <r>
      <rPr>
        <sz val="11"/>
        <color theme="1"/>
        <rFont val="宋体"/>
        <family val="3"/>
        <charset val="134"/>
      </rPr>
      <t>、绕该点旋转的出手半径以及其修正：</t>
    </r>
    <r>
      <rPr>
        <sz val="11"/>
        <color theme="1"/>
        <rFont val="Tahoma"/>
        <family val="2"/>
        <charset val="134"/>
      </rPr>
      <t>(COS(RADIANS(F11))*A2*E6, SIN(RADIANS(F11))*A2*E6))</t>
    </r>
    <phoneticPr fontId="1" type="noConversion"/>
  </si>
  <si>
    <r>
      <t>(</t>
    </r>
    <r>
      <rPr>
        <sz val="11"/>
        <color theme="1"/>
        <rFont val="宋体"/>
        <family val="3"/>
        <charset val="134"/>
      </rPr>
      <t>坡度：自身现有</t>
    </r>
    <r>
      <rPr>
        <sz val="11"/>
        <color theme="1"/>
        <rFont val="Tahoma"/>
        <family val="2"/>
        <charset val="134"/>
      </rPr>
      <t>x</t>
    </r>
    <r>
      <rPr>
        <sz val="11"/>
        <color theme="1"/>
        <rFont val="宋体"/>
        <family val="3"/>
        <charset val="134"/>
      </rPr>
      <t>轴相对于水平状态，即以</t>
    </r>
    <r>
      <rPr>
        <sz val="11"/>
        <color theme="1"/>
        <rFont val="Tahoma"/>
        <family val="2"/>
        <charset val="134"/>
      </rPr>
      <t>x</t>
    </r>
    <r>
      <rPr>
        <sz val="11"/>
        <color theme="1"/>
        <rFont val="宋体"/>
        <family val="3"/>
        <charset val="134"/>
      </rPr>
      <t>轴水平水平时候的自身坐标系来量度，值为多少。向上</t>
    </r>
    <r>
      <rPr>
        <sz val="11"/>
        <color theme="1"/>
        <rFont val="Tahoma"/>
        <family val="2"/>
        <charset val="134"/>
      </rPr>
      <t>/</t>
    </r>
    <r>
      <rPr>
        <sz val="11"/>
        <color theme="1"/>
        <rFont val="宋体"/>
        <family val="3"/>
        <charset val="134"/>
      </rPr>
      <t>朝着</t>
    </r>
    <r>
      <rPr>
        <sz val="11"/>
        <color theme="1"/>
        <rFont val="Tahoma"/>
        <family val="2"/>
        <charset val="134"/>
      </rPr>
      <t>y</t>
    </r>
    <r>
      <rPr>
        <sz val="11"/>
        <color theme="1"/>
        <rFont val="宋体"/>
        <family val="3"/>
        <charset val="134"/>
      </rPr>
      <t>轴偏转，记为正；朝着</t>
    </r>
    <r>
      <rPr>
        <sz val="11"/>
        <color theme="1"/>
        <rFont val="Tahoma"/>
        <family val="2"/>
        <charset val="134"/>
      </rPr>
      <t>y</t>
    </r>
    <r>
      <rPr>
        <sz val="11"/>
        <color theme="1"/>
        <rFont val="宋体"/>
        <family val="3"/>
        <charset val="134"/>
      </rPr>
      <t>轴负向偏转，记为负——这协调于：以</t>
    </r>
    <r>
      <rPr>
        <sz val="11"/>
        <color theme="1"/>
        <rFont val="Tahoma"/>
        <family val="2"/>
        <charset val="134"/>
      </rPr>
      <t>x</t>
    </r>
    <r>
      <rPr>
        <sz val="11"/>
        <color theme="1"/>
        <rFont val="宋体"/>
        <family val="3"/>
        <charset val="134"/>
      </rPr>
      <t>轴水平时候的原有坐标系为参考系，</t>
    </r>
    <r>
      <rPr>
        <sz val="11"/>
        <color theme="1"/>
        <rFont val="Tahoma"/>
        <family val="2"/>
        <charset val="134"/>
      </rPr>
      <t>x</t>
    </r>
    <r>
      <rPr>
        <sz val="11"/>
        <color theme="1"/>
        <rFont val="宋体"/>
        <family val="3"/>
        <charset val="134"/>
      </rPr>
      <t>轴逆时针偏转为正，顺时针偏转为负</t>
    </r>
    <r>
      <rPr>
        <sz val="11"/>
        <color theme="1"/>
        <rFont val="Tahoma"/>
        <family val="2"/>
        <charset val="134"/>
      </rPr>
      <t>)——</t>
    </r>
    <r>
      <rPr>
        <sz val="11"/>
        <color theme="1"/>
        <rFont val="宋体"/>
        <family val="3"/>
        <charset val="134"/>
      </rPr>
      <t>由于游戏所给的角度就是以自身参考系为基准的，因此武器的最低角或是最高角，相对于平地时候的最低角</t>
    </r>
    <r>
      <rPr>
        <sz val="11"/>
        <color theme="1"/>
        <rFont val="Tahoma"/>
        <family val="2"/>
        <charset val="134"/>
      </rPr>
      <t>or</t>
    </r>
    <r>
      <rPr>
        <sz val="11"/>
        <color theme="1"/>
        <rFont val="宋体"/>
        <family val="3"/>
        <charset val="134"/>
      </rPr>
      <t>最高角的变化情况，就反映了坡度情况。</t>
    </r>
    <phoneticPr fontId="1" type="noConversion"/>
  </si>
  <si>
    <t>取值范围，像atan一样，为﹣90~90°</t>
    <phoneticPr fontId="1" type="noConversion"/>
  </si>
  <si>
    <r>
      <t>(</t>
    </r>
    <r>
      <rPr>
        <sz val="11"/>
        <color theme="1"/>
        <rFont val="宋体"/>
        <family val="3"/>
        <charset val="134"/>
      </rPr>
      <t>即将人物中心作为子弹出射原点，暂时修正为以角度的旋转中心点作为出射原点，但是最终的出射口是枪口，枪支有长度</t>
    </r>
    <r>
      <rPr>
        <sz val="11"/>
        <color theme="1"/>
        <rFont val="Tahoma"/>
        <family val="2"/>
        <charset val="134"/>
      </rPr>
      <t>(</t>
    </r>
    <r>
      <rPr>
        <sz val="11"/>
        <color theme="1"/>
        <rFont val="宋体"/>
        <family val="3"/>
        <charset val="134"/>
      </rPr>
      <t>即出手半径</t>
    </r>
    <r>
      <rPr>
        <sz val="11"/>
        <color theme="1"/>
        <rFont val="Tahoma"/>
        <family val="2"/>
        <charset val="134"/>
      </rPr>
      <t>)</t>
    </r>
    <r>
      <rPr>
        <sz val="11"/>
        <color theme="1"/>
        <rFont val="宋体"/>
        <family val="3"/>
        <charset val="134"/>
      </rPr>
      <t>，枪支绕着该旋转中心点旋转</t>
    </r>
    <r>
      <rPr>
        <sz val="11"/>
        <color theme="1"/>
        <rFont val="Tahoma"/>
        <family val="2"/>
        <charset val="134"/>
      </rPr>
      <t>)——</t>
    </r>
    <r>
      <rPr>
        <sz val="11"/>
        <color theme="1"/>
        <rFont val="宋体"/>
        <family val="3"/>
        <charset val="134"/>
      </rPr>
      <t>因此，从角度的旋转中心的角度来看，该旋转中心点才是出射原点；然而从出射点来看，枪口才是原点；然而由于枪支内弹道是直线，子弹在枪口处的出射方向，即为枪支本身相对于旋转中心的朝向，所以枪口既满足出射点，又满足等效旋转点两个条件，因而枪口才是原点。</t>
    </r>
    <phoneticPr fontId="1" type="noConversion"/>
  </si>
  <si>
    <r>
      <t>(</t>
    </r>
    <r>
      <rPr>
        <sz val="11"/>
        <color theme="1"/>
        <rFont val="宋体"/>
        <family val="3"/>
        <charset val="134"/>
      </rPr>
      <t>枪口处的子弹初速度</t>
    </r>
    <r>
      <rPr>
        <sz val="11"/>
        <color theme="1"/>
        <rFont val="Tahoma"/>
        <family val="2"/>
        <charset val="134"/>
      </rPr>
      <t>)</t>
    </r>
    <phoneticPr fontId="1" type="noConversion"/>
  </si>
  <si>
    <t>正抛数据的真实值</t>
    <phoneticPr fontId="1" type="noConversion"/>
  </si>
  <si>
    <t>********</t>
    <phoneticPr fontId="1" type="noConversion"/>
  </si>
  <si>
    <t>程序/数学公式本身应该支持反抛的，但或许由于sheet change事件反应灵敏过度(或者说数据输入相对于运算速度来说太迟钝，以至于两个数据同时输入就没问题的，单个单个地先后输入就会有问题)，导致中途有计算溢出，以至于继续正确运算受阻；现在建立的伪反抛(实际是正抛)机制，在水平加速度上，当因自身坐标系的x轴朝向改变，异于x轴正对着对方的标准坐标系，而使得x变号时，那么输入数据时，相对位移x和风力得同时取负，才能是等效的(描述同一个图景的)，原坐标系(正对对方时)下的原始x和风力(所以我添加了语句：当x被你取负时，在你坐标系下的风力也将是与之前相反的，而假设你老老实实地也相对于你改变后的坐标系读取风力的话，那么我在信任你给我的风力数据是与正抛相反后，要在excel中将风力取反，修正为正抛风力值)；当然，此时的角度是&gt;π/2的(不过有可能是渐变到的)，则角度还要转变为π-当前角度</t>
    <phoneticPr fontId="1" type="noConversion"/>
  </si>
  <si>
    <r>
      <rPr>
        <sz val="11"/>
        <color theme="1"/>
        <rFont val="宋体"/>
        <family val="3"/>
        <charset val="134"/>
      </rPr>
      <t>当然，除了角度，风力信息的输入</t>
    </r>
    <r>
      <rPr>
        <sz val="11"/>
        <color theme="1"/>
        <rFont val="Tahoma"/>
        <family val="2"/>
        <charset val="134"/>
      </rPr>
      <t>/</t>
    </r>
    <r>
      <rPr>
        <sz val="11"/>
        <color theme="1"/>
        <rFont val="宋体"/>
        <family val="3"/>
        <charset val="134"/>
      </rPr>
      <t>更新的</t>
    </r>
    <r>
      <rPr>
        <sz val="11"/>
        <color theme="1"/>
        <rFont val="Tahoma"/>
        <family val="2"/>
        <charset val="134"/>
      </rPr>
      <t>(</t>
    </r>
    <r>
      <rPr>
        <sz val="11"/>
        <color theme="1"/>
        <rFont val="宋体"/>
        <family val="3"/>
        <charset val="134"/>
      </rPr>
      <t>相对</t>
    </r>
    <r>
      <rPr>
        <sz val="11"/>
        <color theme="1"/>
        <rFont val="Tahoma"/>
        <family val="2"/>
        <charset val="134"/>
      </rPr>
      <t>)</t>
    </r>
    <r>
      <rPr>
        <sz val="11"/>
        <color theme="1"/>
        <rFont val="宋体"/>
        <family val="3"/>
        <charset val="134"/>
      </rPr>
      <t>不及时，也会导致计算结果的未及时更新，不过不像角度信息一样，它一般不会造成无解</t>
    </r>
    <r>
      <rPr>
        <sz val="11"/>
        <color theme="1"/>
        <rFont val="Tahoma"/>
        <family val="2"/>
        <charset val="134"/>
      </rPr>
      <t>(</t>
    </r>
    <r>
      <rPr>
        <sz val="11"/>
        <color theme="1"/>
        <rFont val="宋体"/>
        <family val="3"/>
        <charset val="134"/>
      </rPr>
      <t>不过若原来</t>
    </r>
    <r>
      <rPr>
        <sz val="11"/>
        <color theme="1"/>
        <rFont val="Tahoma"/>
        <family val="2"/>
        <charset val="134"/>
      </rPr>
      <t>[/</t>
    </r>
    <r>
      <rPr>
        <sz val="11"/>
        <color theme="1"/>
        <rFont val="宋体"/>
        <family val="3"/>
        <charset val="134"/>
      </rPr>
      <t>现在</t>
    </r>
    <r>
      <rPr>
        <sz val="11"/>
        <color theme="1"/>
        <rFont val="Tahoma"/>
        <family val="2"/>
        <charset val="134"/>
      </rPr>
      <t>]</t>
    </r>
    <r>
      <rPr>
        <sz val="11"/>
        <color theme="1"/>
        <rFont val="宋体"/>
        <family val="3"/>
        <charset val="134"/>
      </rPr>
      <t>的风相对于现在</t>
    </r>
    <r>
      <rPr>
        <sz val="11"/>
        <color theme="1"/>
        <rFont val="Tahoma"/>
        <family val="2"/>
        <charset val="134"/>
      </rPr>
      <t>[/</t>
    </r>
    <r>
      <rPr>
        <sz val="11"/>
        <color theme="1"/>
        <rFont val="宋体"/>
        <family val="3"/>
        <charset val="134"/>
      </rPr>
      <t>之前</t>
    </r>
    <r>
      <rPr>
        <sz val="11"/>
        <color theme="1"/>
        <rFont val="Tahoma"/>
        <family val="2"/>
        <charset val="134"/>
      </rPr>
      <t>]</t>
    </r>
    <r>
      <rPr>
        <sz val="11"/>
        <color theme="1"/>
        <rFont val="宋体"/>
        <family val="3"/>
        <charset val="134"/>
      </rPr>
      <t>的风以外的数据，是很大的逆风时，若后</t>
    </r>
    <r>
      <rPr>
        <sz val="11"/>
        <color theme="1"/>
        <rFont val="Tahoma"/>
        <family val="2"/>
        <charset val="134"/>
      </rPr>
      <t>[/</t>
    </r>
    <r>
      <rPr>
        <sz val="11"/>
        <color theme="1"/>
        <rFont val="宋体"/>
        <family val="3"/>
        <charset val="134"/>
      </rPr>
      <t>先</t>
    </r>
    <r>
      <rPr>
        <sz val="11"/>
        <color theme="1"/>
        <rFont val="Tahoma"/>
        <family val="2"/>
        <charset val="134"/>
      </rPr>
      <t>]</t>
    </r>
    <r>
      <rPr>
        <sz val="11"/>
        <color theme="1"/>
        <rFont val="宋体"/>
        <family val="3"/>
        <charset val="134"/>
      </rPr>
      <t>改变风值，则会造成无解</t>
    </r>
    <r>
      <rPr>
        <sz val="11"/>
        <color theme="1"/>
        <rFont val="Tahoma"/>
        <family val="2"/>
        <charset val="134"/>
      </rPr>
      <t>)</t>
    </r>
    <r>
      <rPr>
        <sz val="11"/>
        <color theme="1"/>
        <rFont val="宋体"/>
        <family val="3"/>
        <charset val="134"/>
      </rPr>
      <t>。因而，风力，</t>
    </r>
    <r>
      <rPr>
        <sz val="11"/>
        <color theme="1"/>
        <rFont val="Tahoma"/>
        <family val="2"/>
        <charset val="134"/>
      </rPr>
      <t>x=x2-x1</t>
    </r>
    <r>
      <rPr>
        <sz val="11"/>
        <color theme="1"/>
        <rFont val="宋体"/>
        <family val="3"/>
        <charset val="134"/>
      </rPr>
      <t>，角度，三个量相互联系着。</t>
    </r>
    <phoneticPr fontId="1" type="noConversion"/>
  </si>
  <si>
    <t>输入数据的Simplify</t>
    <phoneticPr fontId="1" type="noConversion"/>
  </si>
  <si>
    <r>
      <rPr>
        <sz val="11"/>
        <color theme="1"/>
        <rFont val="宋体"/>
        <family val="3"/>
        <charset val="134"/>
      </rPr>
      <t>相对于上一版本，只修改了</t>
    </r>
    <r>
      <rPr>
        <sz val="11"/>
        <color theme="1"/>
        <rFont val="Tahoma"/>
        <family val="2"/>
        <charset val="134"/>
      </rPr>
      <t>E10</t>
    </r>
    <r>
      <rPr>
        <sz val="11"/>
        <color theme="1"/>
        <rFont val="宋体"/>
        <family val="3"/>
        <charset val="134"/>
      </rPr>
      <t>。由于输入的</t>
    </r>
    <r>
      <rPr>
        <sz val="11"/>
        <color theme="1"/>
        <rFont val="Tahoma"/>
        <family val="2"/>
        <charset val="134"/>
      </rPr>
      <t>F8&gt;0</t>
    </r>
    <r>
      <rPr>
        <sz val="11"/>
        <color theme="1"/>
        <rFont val="宋体"/>
        <family val="3"/>
        <charset val="134"/>
      </rPr>
      <t>，则其中的</t>
    </r>
    <r>
      <rPr>
        <sz val="11"/>
        <color theme="1"/>
        <rFont val="Tahoma"/>
        <family val="2"/>
        <charset val="134"/>
      </rPr>
      <t>F8*F15&gt;0</t>
    </r>
    <r>
      <rPr>
        <sz val="11"/>
        <color theme="1"/>
        <rFont val="宋体"/>
        <family val="3"/>
        <charset val="134"/>
      </rPr>
      <t>等效于</t>
    </r>
    <r>
      <rPr>
        <sz val="11"/>
        <color theme="1"/>
        <rFont val="Tahoma"/>
        <family val="2"/>
        <charset val="134"/>
      </rPr>
      <t>F15&gt;0</t>
    </r>
    <r>
      <rPr>
        <sz val="11"/>
        <color theme="1"/>
        <rFont val="宋体"/>
        <family val="3"/>
        <charset val="134"/>
      </rPr>
      <t>等效于</t>
    </r>
    <r>
      <rPr>
        <sz val="11"/>
        <color theme="1"/>
        <rFont val="Tahoma"/>
        <family val="2"/>
        <charset val="134"/>
      </rPr>
      <t>F11&lt;90</t>
    </r>
    <r>
      <rPr>
        <sz val="11"/>
        <color theme="1"/>
        <rFont val="宋体"/>
        <family val="3"/>
        <charset val="134"/>
      </rPr>
      <t>，再用它乘以</t>
    </r>
    <r>
      <rPr>
        <sz val="11"/>
        <color theme="1"/>
        <rFont val="Tahoma"/>
        <family val="2"/>
        <charset val="134"/>
      </rPr>
      <t>F15</t>
    </r>
    <r>
      <rPr>
        <sz val="11"/>
        <color theme="1"/>
        <rFont val="宋体"/>
        <family val="3"/>
        <charset val="134"/>
      </rPr>
      <t>即可</t>
    </r>
    <r>
      <rPr>
        <sz val="11"/>
        <color theme="1"/>
        <rFont val="Tahoma"/>
        <family val="2"/>
        <charset val="134"/>
      </rPr>
      <t>(</t>
    </r>
    <r>
      <rPr>
        <sz val="11"/>
        <color theme="1"/>
        <rFont val="宋体"/>
        <family val="3"/>
        <charset val="134"/>
      </rPr>
      <t>详情参见“第十一版——风力参照正对对方的自己坐标系，类手游版</t>
    </r>
    <r>
      <rPr>
        <sz val="11"/>
        <color theme="1"/>
        <rFont val="Tahoma"/>
        <family val="2"/>
        <charset val="134"/>
      </rPr>
      <t>.e</t>
    </r>
    <r>
      <rPr>
        <sz val="11"/>
        <color theme="1"/>
        <rFont val="宋体"/>
        <family val="3"/>
        <charset val="134"/>
      </rPr>
      <t>”，其中的</t>
    </r>
    <r>
      <rPr>
        <sz val="11"/>
        <color theme="1"/>
        <rFont val="Tahoma"/>
        <family val="2"/>
        <charset val="134"/>
      </rPr>
      <t>a</t>
    </r>
    <r>
      <rPr>
        <sz val="11"/>
        <color theme="1"/>
        <rFont val="宋体"/>
        <family val="3"/>
        <charset val="134"/>
      </rPr>
      <t>为正对对方的自己坐标系下的，则参照自己坐标系才成立的公式中应该输入的是</t>
    </r>
    <r>
      <rPr>
        <sz val="11"/>
        <color theme="1"/>
        <rFont val="Tahoma"/>
        <family val="2"/>
        <charset val="134"/>
      </rPr>
      <t>(1-2</t>
    </r>
    <r>
      <rPr>
        <sz val="11"/>
        <color theme="1"/>
        <rFont val="宋体"/>
        <family val="3"/>
        <charset val="134"/>
      </rPr>
      <t>×左右</t>
    </r>
    <r>
      <rPr>
        <sz val="11"/>
        <color theme="1"/>
        <rFont val="Tahoma"/>
        <family val="2"/>
        <charset val="134"/>
      </rPr>
      <t>2)</t>
    </r>
    <r>
      <rPr>
        <sz val="11"/>
        <color theme="1"/>
        <rFont val="宋体"/>
        <family val="3"/>
        <charset val="134"/>
      </rPr>
      <t>×</t>
    </r>
    <r>
      <rPr>
        <sz val="11"/>
        <color theme="1"/>
        <rFont val="Tahoma"/>
        <family val="2"/>
        <charset val="134"/>
      </rPr>
      <t>a</t>
    </r>
    <r>
      <rPr>
        <sz val="11"/>
        <color theme="1"/>
        <rFont val="宋体"/>
        <family val="3"/>
        <charset val="134"/>
      </rPr>
      <t>；现在是也是这样，有点反解的意味：若将上一版即第二版中的</t>
    </r>
    <r>
      <rPr>
        <sz val="11"/>
        <color theme="1"/>
        <rFont val="Tahoma"/>
        <family val="2"/>
        <charset val="134"/>
      </rPr>
      <t>a</t>
    </r>
    <r>
      <rPr>
        <sz val="11"/>
        <color theme="1"/>
        <rFont val="宋体"/>
        <family val="3"/>
        <charset val="134"/>
      </rPr>
      <t>乘以</t>
    </r>
    <r>
      <rPr>
        <sz val="11"/>
        <color theme="1"/>
        <rFont val="Tahoma"/>
        <family val="2"/>
        <charset val="134"/>
      </rPr>
      <t>(1-2</t>
    </r>
    <r>
      <rPr>
        <sz val="11"/>
        <color theme="1"/>
        <rFont val="宋体"/>
        <family val="3"/>
        <charset val="134"/>
      </rPr>
      <t>×左右</t>
    </r>
    <r>
      <rPr>
        <sz val="11"/>
        <color theme="1"/>
        <rFont val="Tahoma"/>
        <family val="2"/>
        <charset val="134"/>
      </rPr>
      <t>2)</t>
    </r>
    <r>
      <rPr>
        <sz val="11"/>
        <color theme="1"/>
        <rFont val="宋体"/>
        <family val="3"/>
        <charset val="134"/>
      </rPr>
      <t>，并代入方程，那么若要使的方程输出结果在跟以前一样，则</t>
    </r>
    <r>
      <rPr>
        <sz val="11"/>
        <color theme="1"/>
        <rFont val="Tahoma"/>
        <family val="2"/>
        <charset val="134"/>
      </rPr>
      <t>a</t>
    </r>
    <r>
      <rPr>
        <sz val="11"/>
        <color theme="1"/>
        <rFont val="宋体"/>
        <family val="3"/>
        <charset val="134"/>
      </rPr>
      <t>的含义会因此变为正对对方的自己坐标系下的风力。所以我们将其乘以等效于</t>
    </r>
    <r>
      <rPr>
        <sz val="11"/>
        <color theme="1"/>
        <rFont val="Tahoma"/>
        <family val="2"/>
        <charset val="134"/>
      </rPr>
      <t>(1-2</t>
    </r>
    <r>
      <rPr>
        <sz val="11"/>
        <color theme="1"/>
        <rFont val="宋体"/>
        <family val="3"/>
        <charset val="134"/>
      </rPr>
      <t>×左右</t>
    </r>
    <r>
      <rPr>
        <sz val="11"/>
        <color theme="1"/>
        <rFont val="Tahoma"/>
        <family val="2"/>
        <charset val="134"/>
      </rPr>
      <t>2)</t>
    </r>
    <r>
      <rPr>
        <sz val="11"/>
        <color theme="1"/>
        <rFont val="宋体"/>
        <family val="3"/>
        <charset val="134"/>
      </rPr>
      <t>的</t>
    </r>
    <r>
      <rPr>
        <sz val="11"/>
        <color theme="1"/>
        <rFont val="Tahoma"/>
        <family val="2"/>
        <charset val="134"/>
      </rPr>
      <t>F15)</t>
    </r>
    <r>
      <rPr>
        <sz val="11"/>
        <color theme="1"/>
        <rFont val="宋体"/>
        <family val="3"/>
        <charset val="134"/>
      </rPr>
      <t>。</t>
    </r>
    <phoneticPr fontId="1" type="noConversion"/>
  </si>
  <si>
    <r>
      <t>atan</t>
    </r>
    <r>
      <rPr>
        <sz val="11"/>
        <color theme="1"/>
        <rFont val="宋体"/>
        <family val="3"/>
        <charset val="134"/>
      </rPr>
      <t>∈</t>
    </r>
    <r>
      <rPr>
        <sz val="11"/>
        <color theme="1"/>
        <rFont val="Tahoma"/>
        <family val="2"/>
        <charset val="134"/>
      </rPr>
      <t>(-180°</t>
    </r>
    <r>
      <rPr>
        <sz val="11"/>
        <color theme="1"/>
        <rFont val="宋体"/>
        <family val="3"/>
        <charset val="134"/>
      </rPr>
      <t>，</t>
    </r>
    <r>
      <rPr>
        <sz val="11"/>
        <color theme="1"/>
        <rFont val="Tahoma"/>
        <family val="2"/>
        <charset val="134"/>
      </rPr>
      <t>180°]</t>
    </r>
    <phoneticPr fontId="1" type="noConversion"/>
  </si>
  <si>
    <t>推荐角度or原角度</t>
    <phoneticPr fontId="1" type="noConversion"/>
  </si>
  <si>
    <t>取小于90°</t>
    <phoneticPr fontId="1" type="noConversion"/>
  </si>
  <si>
    <r>
      <t>1-</t>
    </r>
    <r>
      <rPr>
        <sz val="11"/>
        <color rgb="FF0070C0"/>
        <rFont val="宋体"/>
        <family val="3"/>
        <charset val="134"/>
      </rPr>
      <t>原角度；</t>
    </r>
    <r>
      <rPr>
        <sz val="11"/>
        <color rgb="FF0070C0"/>
        <rFont val="Tahoma"/>
        <family val="2"/>
        <charset val="134"/>
      </rPr>
      <t>0-</t>
    </r>
    <r>
      <rPr>
        <sz val="11"/>
        <color rgb="FF0070C0"/>
        <rFont val="宋体"/>
        <family val="3"/>
        <charset val="134"/>
      </rPr>
      <t>推荐角</t>
    </r>
    <phoneticPr fontId="1" type="noConversion"/>
  </si>
  <si>
    <t>65°</t>
    <phoneticPr fontId="1" type="noConversion"/>
  </si>
  <si>
    <t>115°</t>
    <phoneticPr fontId="1" type="noConversion"/>
  </si>
  <si>
    <t>高抛</t>
    <phoneticPr fontId="1" type="noConversion"/>
  </si>
  <si>
    <t>反高抛</t>
    <phoneticPr fontId="1" type="noConversion"/>
  </si>
  <si>
    <t>该版重做了推荐角功能，在第二版的时候就需要修正的。利用易语言“第十一版——自己坐标系”的推荐角逻辑：E16是为了将atan∈(-180°，180°]变成atan∈(-90°，270°]的弹弹堂的自己的坐标系的刻度盘范围，以与易语言中的对应；这里的(x,y)=(F8*F15,F9)已经是自己坐标系下的了，所得的角度也将是自己坐标系下的，因而可以直接和自己坐标系下的r即角度α比较；并添加了一些特定角和特定力。</t>
    <phoneticPr fontId="1" type="noConversion"/>
  </si>
  <si>
    <r>
      <rPr>
        <sz val="11"/>
        <color theme="1"/>
        <rFont val="宋体"/>
        <family val="3"/>
        <charset val="134"/>
      </rPr>
      <t>其实这里的风力</t>
    </r>
    <r>
      <rPr>
        <sz val="11"/>
        <color theme="1"/>
        <rFont val="Tahoma"/>
        <family val="2"/>
        <charset val="134"/>
      </rPr>
      <t>a</t>
    </r>
    <r>
      <rPr>
        <sz val="11"/>
        <color theme="1"/>
        <rFont val="宋体"/>
        <family val="3"/>
        <charset val="134"/>
      </rPr>
      <t>就等于</t>
    </r>
    <r>
      <rPr>
        <sz val="11"/>
        <color theme="1"/>
        <rFont val="Tahoma"/>
        <family val="2"/>
        <charset val="134"/>
      </rPr>
      <t>F10/10</t>
    </r>
    <r>
      <rPr>
        <sz val="11"/>
        <color theme="1"/>
        <rFont val="宋体"/>
        <family val="3"/>
        <charset val="134"/>
      </rPr>
      <t>，</t>
    </r>
    <r>
      <rPr>
        <sz val="11"/>
        <color theme="1"/>
        <rFont val="Tahoma"/>
        <family val="2"/>
        <charset val="134"/>
      </rPr>
      <t>F10/10</t>
    </r>
    <r>
      <rPr>
        <sz val="11"/>
        <color theme="1"/>
        <rFont val="宋体"/>
        <family val="3"/>
        <charset val="134"/>
      </rPr>
      <t>这个输入的东西是正的，风力</t>
    </r>
    <r>
      <rPr>
        <sz val="11"/>
        <color theme="1"/>
        <rFont val="Tahoma"/>
        <family val="2"/>
        <charset val="134"/>
      </rPr>
      <t>a</t>
    </r>
    <r>
      <rPr>
        <sz val="11"/>
        <color theme="1"/>
        <rFont val="宋体"/>
        <family val="3"/>
        <charset val="134"/>
      </rPr>
      <t>就是正的，代入</t>
    </r>
    <r>
      <rPr>
        <sz val="11"/>
        <color theme="1"/>
        <rFont val="Tahoma"/>
        <family val="2"/>
        <charset val="134"/>
      </rPr>
      <t>A11</t>
    </r>
    <r>
      <rPr>
        <sz val="11"/>
        <color theme="1"/>
        <rFont val="宋体"/>
        <family val="3"/>
        <charset val="134"/>
      </rPr>
      <t>的风力值就是</t>
    </r>
    <r>
      <rPr>
        <sz val="11"/>
        <color theme="1"/>
        <rFont val="Tahoma"/>
        <family val="2"/>
        <charset val="134"/>
      </rPr>
      <t>E10</t>
    </r>
    <r>
      <rPr>
        <sz val="11"/>
        <color theme="1"/>
        <rFont val="宋体"/>
        <family val="3"/>
        <charset val="134"/>
      </rPr>
      <t>的风力</t>
    </r>
    <r>
      <rPr>
        <sz val="11"/>
        <color theme="1"/>
        <rFont val="Tahoma"/>
        <family val="2"/>
        <charset val="134"/>
      </rPr>
      <t>a</t>
    </r>
    <r>
      <rPr>
        <sz val="11"/>
        <color theme="1"/>
        <rFont val="宋体"/>
        <family val="3"/>
        <charset val="134"/>
      </rPr>
      <t>，即输入的风力，即正对对方坐标系下的风力。</t>
    </r>
    <phoneticPr fontId="1" type="noConversion"/>
  </si>
  <si>
    <r>
      <rPr>
        <sz val="11"/>
        <color theme="1"/>
        <rFont val="宋体"/>
        <family val="3"/>
        <charset val="134"/>
      </rPr>
      <t>代入</t>
    </r>
    <r>
      <rPr>
        <sz val="11"/>
        <color theme="1"/>
        <rFont val="Tahoma"/>
        <family val="2"/>
        <charset val="134"/>
      </rPr>
      <t>M</t>
    </r>
    <r>
      <rPr>
        <sz val="11"/>
        <color theme="1"/>
        <rFont val="宋体"/>
        <family val="3"/>
        <charset val="134"/>
      </rPr>
      <t>的距离，为</t>
    </r>
    <r>
      <rPr>
        <sz val="11"/>
        <color theme="1"/>
        <rFont val="Tahoma"/>
        <family val="2"/>
        <charset val="134"/>
      </rPr>
      <t>F15*F8/10</t>
    </r>
    <r>
      <rPr>
        <sz val="11"/>
        <color theme="1"/>
        <rFont val="宋体"/>
        <family val="3"/>
        <charset val="134"/>
      </rPr>
      <t>，即正对对方坐标系下的人工判断的距离，加上程序智能判断正对背对关系后的，大部分为正确的自己坐标系下的，整个体系相当于纯粹地依赖角度来衡量</t>
    </r>
    <r>
      <rPr>
        <sz val="11"/>
        <color theme="1"/>
        <rFont val="Tahoma"/>
        <family val="2"/>
        <charset val="134"/>
      </rPr>
      <t>x</t>
    </r>
    <r>
      <rPr>
        <sz val="11"/>
        <color theme="1"/>
        <rFont val="宋体"/>
        <family val="3"/>
        <charset val="134"/>
      </rPr>
      <t>和</t>
    </r>
    <r>
      <rPr>
        <sz val="11"/>
        <color theme="1"/>
        <rFont val="Tahoma"/>
        <family val="2"/>
        <charset val="134"/>
      </rPr>
      <t>a</t>
    </r>
    <r>
      <rPr>
        <sz val="11"/>
        <color theme="1"/>
        <rFont val="宋体"/>
        <family val="3"/>
        <charset val="134"/>
      </rPr>
      <t>在自己坐标系下的正负。</t>
    </r>
    <phoneticPr fontId="1" type="noConversion"/>
  </si>
  <si>
    <r>
      <rPr>
        <sz val="11"/>
        <color theme="1"/>
        <rFont val="宋体"/>
        <family val="3"/>
        <charset val="134"/>
      </rPr>
      <t>当角度</t>
    </r>
    <r>
      <rPr>
        <sz val="11"/>
        <color theme="1"/>
        <rFont val="Tahoma"/>
        <family val="2"/>
        <charset val="134"/>
      </rPr>
      <t>&gt;90°</t>
    </r>
    <r>
      <rPr>
        <sz val="11"/>
        <color theme="1"/>
        <rFont val="宋体"/>
        <family val="3"/>
        <charset val="134"/>
      </rPr>
      <t>时，大部分情况下为我方背对敌方，此时本不应该将风力</t>
    </r>
    <r>
      <rPr>
        <sz val="11"/>
        <color theme="1"/>
        <rFont val="Tahoma"/>
        <family val="2"/>
        <charset val="134"/>
      </rPr>
      <t>a</t>
    </r>
    <r>
      <rPr>
        <sz val="11"/>
        <color theme="1"/>
        <rFont val="宋体"/>
        <family val="3"/>
        <charset val="134"/>
      </rPr>
      <t>带入修正位移</t>
    </r>
    <r>
      <rPr>
        <sz val="11"/>
        <color theme="1"/>
        <rFont val="Tahoma"/>
        <family val="2"/>
        <charset val="134"/>
      </rPr>
      <t>x</t>
    </r>
    <r>
      <rPr>
        <sz val="11"/>
        <color theme="1"/>
        <rFont val="宋体"/>
        <family val="3"/>
        <charset val="134"/>
      </rPr>
      <t>，因其为正对对方坐标系下的，而该坐标系现在与自己的坐标系朝向相反，要带入</t>
    </r>
    <r>
      <rPr>
        <sz val="11"/>
        <color theme="1"/>
        <rFont val="Tahoma"/>
        <family val="2"/>
        <charset val="134"/>
      </rPr>
      <t>M</t>
    </r>
    <r>
      <rPr>
        <sz val="11"/>
        <color theme="1"/>
        <rFont val="宋体"/>
        <family val="3"/>
        <charset val="134"/>
      </rPr>
      <t>的话，风力</t>
    </r>
    <r>
      <rPr>
        <sz val="11"/>
        <color theme="1"/>
        <rFont val="Tahoma"/>
        <family val="2"/>
        <charset val="134"/>
      </rPr>
      <t>a</t>
    </r>
    <r>
      <rPr>
        <sz val="11"/>
        <color theme="1"/>
        <rFont val="宋体"/>
        <family val="3"/>
        <charset val="134"/>
      </rPr>
      <t>本该取负。但是，由于</t>
    </r>
    <r>
      <rPr>
        <sz val="11"/>
        <color theme="1"/>
        <rFont val="Tahoma"/>
        <family val="2"/>
        <charset val="134"/>
      </rPr>
      <t>M</t>
    </r>
    <r>
      <rPr>
        <sz val="11"/>
        <color theme="1"/>
        <rFont val="宋体"/>
        <family val="3"/>
        <charset val="134"/>
      </rPr>
      <t>所采用的角度，为</t>
    </r>
    <r>
      <rPr>
        <sz val="11"/>
        <color theme="1"/>
        <rFont val="Tahoma"/>
        <family val="2"/>
        <charset val="134"/>
      </rPr>
      <t>E11</t>
    </r>
    <r>
      <rPr>
        <sz val="11"/>
        <color theme="1"/>
        <rFont val="宋体"/>
        <family val="3"/>
        <charset val="134"/>
      </rPr>
      <t>，即</t>
    </r>
    <r>
      <rPr>
        <sz val="11"/>
        <color theme="1"/>
        <rFont val="Tahoma"/>
        <family val="2"/>
        <charset val="134"/>
      </rPr>
      <t>&lt;90°</t>
    </r>
    <r>
      <rPr>
        <sz val="11"/>
        <color theme="1"/>
        <rFont val="宋体"/>
        <family val="3"/>
        <charset val="134"/>
      </rPr>
      <t>的角度，因此相当于自己的坐标系从背对对方坐标系后再次</t>
    </r>
    <r>
      <rPr>
        <sz val="11"/>
        <color theme="1"/>
        <rFont val="Tahoma"/>
        <family val="2"/>
        <charset val="134"/>
      </rPr>
      <t>x</t>
    </r>
    <r>
      <rPr>
        <sz val="11"/>
        <color theme="1"/>
        <rFont val="宋体"/>
        <family val="3"/>
        <charset val="134"/>
      </rPr>
      <t>轴取反，变得正对对方坐标系，风力</t>
    </r>
    <r>
      <rPr>
        <sz val="11"/>
        <color theme="1"/>
        <rFont val="Tahoma"/>
        <family val="2"/>
        <charset val="134"/>
      </rPr>
      <t>a</t>
    </r>
    <r>
      <rPr>
        <sz val="11"/>
        <color theme="1"/>
        <rFont val="宋体"/>
        <family val="3"/>
        <charset val="134"/>
      </rPr>
      <t>就可以适用了；当角度</t>
    </r>
    <r>
      <rPr>
        <sz val="11"/>
        <color theme="1"/>
        <rFont val="Tahoma"/>
        <family val="2"/>
        <charset val="134"/>
      </rPr>
      <t>&lt;90°</t>
    </r>
    <r>
      <rPr>
        <sz val="11"/>
        <color theme="1"/>
        <rFont val="宋体"/>
        <family val="3"/>
        <charset val="134"/>
      </rPr>
      <t>时，大部分情况我方正对敌方，此时可以直接将风力</t>
    </r>
    <r>
      <rPr>
        <sz val="11"/>
        <color theme="1"/>
        <rFont val="Tahoma"/>
        <family val="2"/>
        <charset val="134"/>
      </rPr>
      <t>a</t>
    </r>
    <r>
      <rPr>
        <sz val="11"/>
        <color theme="1"/>
        <rFont val="宋体"/>
        <family val="3"/>
        <charset val="134"/>
      </rPr>
      <t>带入修正位移，并且由于</t>
    </r>
    <r>
      <rPr>
        <sz val="11"/>
        <color theme="1"/>
        <rFont val="Tahoma"/>
        <family val="2"/>
        <charset val="134"/>
      </rPr>
      <t>M</t>
    </r>
    <r>
      <rPr>
        <sz val="11"/>
        <color theme="1"/>
        <rFont val="宋体"/>
        <family val="3"/>
        <charset val="134"/>
      </rPr>
      <t>中采用的角度为</t>
    </r>
    <r>
      <rPr>
        <sz val="11"/>
        <color theme="1"/>
        <rFont val="Tahoma"/>
        <family val="2"/>
        <charset val="134"/>
      </rPr>
      <t>E11</t>
    </r>
    <r>
      <rPr>
        <sz val="11"/>
        <color theme="1"/>
        <rFont val="宋体"/>
        <family val="3"/>
        <charset val="134"/>
      </rPr>
      <t>，</t>
    </r>
    <r>
      <rPr>
        <sz val="11"/>
        <color theme="1"/>
        <rFont val="Tahoma"/>
        <family val="2"/>
        <charset val="134"/>
      </rPr>
      <t>&lt;90°</t>
    </r>
    <r>
      <rPr>
        <sz val="11"/>
        <color theme="1"/>
        <rFont val="宋体"/>
        <family val="3"/>
        <charset val="134"/>
      </rPr>
      <t>，因此和谐。</t>
    </r>
    <phoneticPr fontId="1" type="noConversion"/>
  </si>
  <si>
    <r>
      <rPr>
        <sz val="11"/>
        <color theme="1"/>
        <rFont val="宋体"/>
        <family val="3"/>
        <charset val="134"/>
      </rPr>
      <t>修正位移</t>
    </r>
    <r>
      <rPr>
        <sz val="11"/>
        <color theme="1"/>
        <rFont val="Tahoma"/>
        <family val="2"/>
        <charset val="134"/>
      </rPr>
      <t>x</t>
    </r>
    <r>
      <rPr>
        <sz val="11"/>
        <color theme="1"/>
        <rFont val="宋体"/>
        <family val="3"/>
        <charset val="134"/>
      </rPr>
      <t>，采用的是所有量的原始模样，必须保证完全真实，之后再取绝对值，即</t>
    </r>
    <r>
      <rPr>
        <sz val="11"/>
        <color theme="1"/>
        <rFont val="Tahoma"/>
        <family val="2"/>
        <charset val="134"/>
      </rPr>
      <t>x&gt;0</t>
    </r>
    <r>
      <rPr>
        <sz val="11"/>
        <color theme="1"/>
        <rFont val="宋体"/>
        <family val="3"/>
        <charset val="134"/>
      </rPr>
      <t>，以适应</t>
    </r>
    <r>
      <rPr>
        <sz val="11"/>
        <color theme="1"/>
        <rFont val="Tahoma"/>
        <family val="2"/>
        <charset val="134"/>
      </rPr>
      <t>M</t>
    </r>
    <r>
      <rPr>
        <sz val="11"/>
        <color theme="1"/>
        <rFont val="宋体"/>
        <family val="3"/>
        <charset val="134"/>
      </rPr>
      <t>所采用的</t>
    </r>
    <r>
      <rPr>
        <sz val="11"/>
        <color theme="1"/>
        <rFont val="Tahoma"/>
        <family val="2"/>
        <charset val="134"/>
      </rPr>
      <t>E11</t>
    </r>
    <r>
      <rPr>
        <sz val="11"/>
        <color theme="1"/>
        <rFont val="宋体"/>
        <family val="3"/>
        <charset val="134"/>
      </rPr>
      <t>这个恒</t>
    </r>
    <r>
      <rPr>
        <sz val="11"/>
        <color theme="1"/>
        <rFont val="Tahoma"/>
        <family val="2"/>
        <charset val="134"/>
      </rPr>
      <t>&lt;90°</t>
    </r>
    <r>
      <rPr>
        <sz val="11"/>
        <color theme="1"/>
        <rFont val="宋体"/>
        <family val="3"/>
        <charset val="134"/>
      </rPr>
      <t>的角度。不过修正位移</t>
    </r>
    <r>
      <rPr>
        <sz val="11"/>
        <color theme="1"/>
        <rFont val="Tahoma"/>
        <family val="2"/>
        <charset val="134"/>
      </rPr>
      <t>x</t>
    </r>
    <r>
      <rPr>
        <sz val="11"/>
        <color theme="1"/>
        <rFont val="宋体"/>
        <family val="3"/>
        <charset val="134"/>
      </rPr>
      <t>的是否绝对真实，也依赖于</t>
    </r>
    <r>
      <rPr>
        <sz val="11"/>
        <color theme="1"/>
        <rFont val="Tahoma"/>
        <family val="2"/>
        <charset val="134"/>
      </rPr>
      <t>F15*F8/10</t>
    </r>
    <r>
      <rPr>
        <sz val="11"/>
        <color theme="1"/>
        <rFont val="宋体"/>
        <family val="3"/>
        <charset val="134"/>
      </rPr>
      <t>的智能化是否智能，不过即使</t>
    </r>
    <r>
      <rPr>
        <sz val="11"/>
        <color theme="1"/>
        <rFont val="Tahoma"/>
        <family val="2"/>
        <charset val="134"/>
      </rPr>
      <t>F15*F8/10</t>
    </r>
    <r>
      <rPr>
        <sz val="11"/>
        <color theme="1"/>
        <rFont val="宋体"/>
        <family val="3"/>
        <charset val="134"/>
      </rPr>
      <t>不智能，修正位移</t>
    </r>
    <r>
      <rPr>
        <sz val="11"/>
        <color theme="1"/>
        <rFont val="Tahoma"/>
        <family val="2"/>
        <charset val="134"/>
      </rPr>
      <t>x</t>
    </r>
    <r>
      <rPr>
        <sz val="11"/>
        <color theme="1"/>
        <rFont val="宋体"/>
        <family val="3"/>
        <charset val="134"/>
      </rPr>
      <t>也是不智能下的真实情况。</t>
    </r>
    <phoneticPr fontId="1" type="noConversion"/>
  </si>
  <si>
    <t>关于A4和B4，仅仅是绘图用的，并且由于A4和B4调用了E11，而x和y调用了A4和B4，所以我们绘图用的角度是E11。因此，绘图绘制的是，F15*F8/10为真实的敌方在自己坐标系下的值时，将炮击断面(沿着y轴翻折后←当F15*F8/10真实，且F15对应的角度大于90度时)放置于图中第一象限后的曲线。</t>
    <phoneticPr fontId="1" type="noConversion"/>
  </si>
  <si>
    <r>
      <rPr>
        <sz val="11"/>
        <color theme="1"/>
        <rFont val="宋体"/>
        <family val="3"/>
        <charset val="134"/>
      </rPr>
      <t>防无解功能是针对当时只能单个数据单个数据地按照一定的先后次序，顺序输入</t>
    </r>
    <r>
      <rPr>
        <sz val="11"/>
        <color theme="1"/>
        <rFont val="Tahoma"/>
        <family val="2"/>
        <charset val="134"/>
      </rPr>
      <t>4</t>
    </r>
    <r>
      <rPr>
        <sz val="11"/>
        <color theme="1"/>
        <rFont val="宋体"/>
        <family val="3"/>
        <charset val="134"/>
      </rPr>
      <t>个数据，此时可能会导致其中两个数据相互矛盾，以至于数据出错</t>
    </r>
    <r>
      <rPr>
        <sz val="11"/>
        <color theme="1"/>
        <rFont val="Tahoma"/>
        <family val="2"/>
        <charset val="134"/>
      </rPr>
      <t>/</t>
    </r>
    <r>
      <rPr>
        <sz val="11"/>
        <color theme="1"/>
        <rFont val="宋体"/>
        <family val="3"/>
        <charset val="134"/>
      </rPr>
      <t>溢出，比如角度是</t>
    </r>
    <r>
      <rPr>
        <sz val="11"/>
        <color theme="1"/>
        <rFont val="Tahoma"/>
        <family val="2"/>
        <charset val="134"/>
      </rPr>
      <t>&lt;90</t>
    </r>
    <r>
      <rPr>
        <sz val="11"/>
        <color theme="1"/>
        <rFont val="宋体"/>
        <family val="3"/>
        <charset val="134"/>
      </rPr>
      <t>的但</t>
    </r>
    <r>
      <rPr>
        <sz val="11"/>
        <color theme="1"/>
        <rFont val="Tahoma"/>
        <family val="2"/>
        <charset val="134"/>
      </rPr>
      <t>x2-x1</t>
    </r>
    <r>
      <rPr>
        <sz val="11"/>
        <color theme="1"/>
        <rFont val="宋体"/>
        <family val="3"/>
        <charset val="134"/>
      </rPr>
      <t>却是负的；或者角度是</t>
    </r>
    <r>
      <rPr>
        <sz val="11"/>
        <color theme="1"/>
        <rFont val="Tahoma"/>
        <family val="2"/>
        <charset val="134"/>
      </rPr>
      <t>&gt;90</t>
    </r>
    <r>
      <rPr>
        <sz val="11"/>
        <color theme="1"/>
        <rFont val="宋体"/>
        <family val="3"/>
        <charset val="134"/>
      </rPr>
      <t>的但</t>
    </r>
    <r>
      <rPr>
        <sz val="11"/>
        <color theme="1"/>
        <rFont val="Tahoma"/>
        <family val="2"/>
        <charset val="134"/>
      </rPr>
      <t>x2-x1</t>
    </r>
    <r>
      <rPr>
        <sz val="11"/>
        <color theme="1"/>
        <rFont val="宋体"/>
        <family val="3"/>
        <charset val="134"/>
      </rPr>
      <t>是正的；</t>
    </r>
    <r>
      <rPr>
        <sz val="11"/>
        <color theme="1"/>
        <rFont val="Tahoma"/>
        <family val="2"/>
        <charset val="134"/>
      </rPr>
      <t>(</t>
    </r>
    <r>
      <rPr>
        <sz val="11"/>
        <color theme="1"/>
        <rFont val="宋体"/>
        <family val="3"/>
        <charset val="134"/>
      </rPr>
      <t>这些都对应着角度信息的及时更新是渐变的</t>
    </r>
    <r>
      <rPr>
        <sz val="11"/>
        <color theme="1"/>
        <rFont val="Tahoma"/>
        <family val="2"/>
        <charset val="134"/>
      </rPr>
      <t>(</t>
    </r>
    <r>
      <rPr>
        <sz val="11"/>
        <color theme="1"/>
        <rFont val="宋体"/>
        <family val="3"/>
        <charset val="134"/>
      </rPr>
      <t>对于页游辅助来说</t>
    </r>
    <r>
      <rPr>
        <sz val="11"/>
        <color theme="1"/>
        <rFont val="Tahoma"/>
        <family val="2"/>
        <charset val="134"/>
      </rPr>
      <t>)</t>
    </r>
    <r>
      <rPr>
        <sz val="11"/>
        <color theme="1"/>
        <rFont val="宋体"/>
        <family val="3"/>
        <charset val="134"/>
      </rPr>
      <t>，有个越过</t>
    </r>
    <r>
      <rPr>
        <sz val="11"/>
        <color theme="1"/>
        <rFont val="Tahoma"/>
        <family val="2"/>
        <charset val="134"/>
      </rPr>
      <t>90°</t>
    </r>
    <r>
      <rPr>
        <sz val="11"/>
        <color theme="1"/>
        <rFont val="宋体"/>
        <family val="3"/>
        <charset val="134"/>
      </rPr>
      <t>的过程，因而若在角度越过</t>
    </r>
    <r>
      <rPr>
        <sz val="11"/>
        <color theme="1"/>
        <rFont val="Tahoma"/>
        <family val="2"/>
        <charset val="134"/>
      </rPr>
      <t>90°</t>
    </r>
    <r>
      <rPr>
        <sz val="11"/>
        <color theme="1"/>
        <rFont val="宋体"/>
        <family val="3"/>
        <charset val="134"/>
      </rPr>
      <t>之前，改变自身朝向而使得自身</t>
    </r>
    <r>
      <rPr>
        <sz val="11"/>
        <color theme="1"/>
        <rFont val="Tahoma"/>
        <family val="2"/>
        <charset val="134"/>
      </rPr>
      <t>(x</t>
    </r>
    <r>
      <rPr>
        <sz val="11"/>
        <color theme="1"/>
        <rFont val="宋体"/>
        <family val="3"/>
        <charset val="134"/>
      </rPr>
      <t>轴</t>
    </r>
    <r>
      <rPr>
        <sz val="11"/>
        <color theme="1"/>
        <rFont val="Tahoma"/>
        <family val="2"/>
        <charset val="134"/>
      </rPr>
      <t>)</t>
    </r>
    <r>
      <rPr>
        <sz val="11"/>
        <color theme="1"/>
        <rFont val="宋体"/>
        <family val="3"/>
        <charset val="134"/>
      </rPr>
      <t>不再正对对方时，就会无解</t>
    </r>
    <r>
      <rPr>
        <sz val="11"/>
        <color theme="1"/>
        <rFont val="Tahoma"/>
        <family val="2"/>
        <charset val="134"/>
      </rPr>
      <t>)</t>
    </r>
    <r>
      <rPr>
        <sz val="11"/>
        <color theme="1"/>
        <rFont val="宋体"/>
        <family val="3"/>
        <charset val="134"/>
      </rPr>
      <t>它们的物理图景本身就是不可能打中的</t>
    </r>
    <r>
      <rPr>
        <sz val="11"/>
        <color theme="1"/>
        <rFont val="Tahoma"/>
        <family val="2"/>
        <charset val="134"/>
      </rPr>
      <t>/</t>
    </r>
    <r>
      <rPr>
        <sz val="11"/>
        <color theme="1"/>
        <rFont val="宋体"/>
        <family val="3"/>
        <charset val="134"/>
      </rPr>
      <t>无解的。当然，也有可能是事先把角度调得越过</t>
    </r>
    <r>
      <rPr>
        <sz val="11"/>
        <color theme="1"/>
        <rFont val="Tahoma"/>
        <family val="2"/>
        <charset val="134"/>
      </rPr>
      <t>90°</t>
    </r>
    <r>
      <rPr>
        <sz val="11"/>
        <color theme="1"/>
        <rFont val="宋体"/>
        <family val="3"/>
        <charset val="134"/>
      </rPr>
      <t>，然后再调整</t>
    </r>
    <r>
      <rPr>
        <sz val="11"/>
        <color theme="1"/>
        <rFont val="Tahoma"/>
        <family val="2"/>
        <charset val="134"/>
      </rPr>
      <t>x=x2-x1</t>
    </r>
    <r>
      <rPr>
        <sz val="11"/>
        <color theme="1"/>
        <rFont val="宋体"/>
        <family val="3"/>
        <charset val="134"/>
      </rPr>
      <t>的正负，这仍然会造成无解。</t>
    </r>
    <phoneticPr fontId="1" type="noConversion"/>
  </si>
  <si>
    <r>
      <rPr>
        <sz val="11"/>
        <color theme="1"/>
        <rFont val="宋体"/>
        <family val="3"/>
        <charset val="134"/>
      </rPr>
      <t>但这样一来，想</t>
    </r>
    <r>
      <rPr>
        <sz val="11"/>
        <color theme="1"/>
        <rFont val="Tahoma"/>
        <family val="2"/>
        <charset val="134"/>
      </rPr>
      <t>90</t>
    </r>
    <r>
      <rPr>
        <sz val="11"/>
        <color theme="1"/>
        <rFont val="宋体"/>
        <family val="3"/>
        <charset val="134"/>
      </rPr>
      <t>多度下，正向顺风攻击敌方的想法会受到限制。不过应只有这一点。——这是因为所有大于</t>
    </r>
    <r>
      <rPr>
        <sz val="11"/>
        <color theme="1"/>
        <rFont val="Tahoma"/>
        <family val="2"/>
        <charset val="134"/>
      </rPr>
      <t>90°</t>
    </r>
    <r>
      <rPr>
        <sz val="11"/>
        <color theme="1"/>
        <rFont val="宋体"/>
        <family val="3"/>
        <charset val="134"/>
      </rPr>
      <t>的行动会被均认为为反抛。</t>
    </r>
    <phoneticPr fontId="1" type="noConversion"/>
  </si>
  <si>
    <r>
      <t>g</t>
    </r>
    <r>
      <rPr>
        <sz val="11"/>
        <color theme="1"/>
        <rFont val="宋体"/>
        <family val="3"/>
        <charset val="134"/>
      </rPr>
      <t>、</t>
    </r>
    <r>
      <rPr>
        <sz val="11"/>
        <color theme="1"/>
        <rFont val="Tahoma"/>
        <family val="2"/>
        <charset val="134"/>
      </rPr>
      <t>k</t>
    </r>
    <r>
      <rPr>
        <sz val="11"/>
        <color theme="1"/>
        <rFont val="宋体"/>
        <family val="3"/>
        <charset val="134"/>
      </rPr>
      <t>自带转换系数，不需要另设</t>
    </r>
    <phoneticPr fontId="1" type="noConversion"/>
  </si>
  <si>
    <t>算出来的速度到力度，有转换系数</t>
    <phoneticPr fontId="1" type="noConversion"/>
  </si>
  <si>
    <t>识别到的风力到真风力，有转换系数</t>
    <phoneticPr fontId="1" type="noConversion"/>
  </si>
  <si>
    <t>一个绝对量：相对位移(x,y)</t>
    <phoneticPr fontId="1" type="noConversion"/>
  </si>
  <si>
    <t>坡度采用情况</t>
    <phoneticPr fontId="1" type="noConversion"/>
  </si>
  <si>
    <t>坡度(精确值)</t>
    <phoneticPr fontId="1" type="noConversion"/>
  </si>
  <si>
    <t>请输入当前最低角</t>
    <phoneticPr fontId="1" type="noConversion"/>
  </si>
  <si>
    <t>所带武器平地最低角</t>
    <phoneticPr fontId="1" type="noConversion"/>
  </si>
  <si>
    <t>未采用</t>
    <phoneticPr fontId="1" type="noConversion"/>
  </si>
  <si>
    <t>平地出手点坐标</t>
    <phoneticPr fontId="1" type="noConversion"/>
  </si>
  <si>
    <t>平地出手点方向</t>
    <phoneticPr fontId="1" type="noConversion"/>
  </si>
  <si>
    <t>力度</t>
    <phoneticPr fontId="1" type="noConversion"/>
  </si>
  <si>
    <r>
      <t xml:space="preserve"> </t>
    </r>
    <r>
      <rPr>
        <sz val="11"/>
        <color theme="1"/>
        <rFont val="宋体"/>
        <family val="3"/>
        <charset val="134"/>
      </rPr>
      <t>综上，背对时（输入的</t>
    </r>
    <r>
      <rPr>
        <sz val="11"/>
        <color theme="1"/>
        <rFont val="Tahoma"/>
        <family val="2"/>
        <charset val="134"/>
      </rPr>
      <t>F8&lt;0</t>
    </r>
    <r>
      <rPr>
        <sz val="11"/>
        <color theme="1"/>
        <rFont val="宋体"/>
        <family val="3"/>
        <charset val="134"/>
      </rPr>
      <t>时），当真实角度</t>
    </r>
    <r>
      <rPr>
        <sz val="11"/>
        <color theme="1"/>
        <rFont val="Tahoma"/>
        <family val="2"/>
        <charset val="134"/>
      </rPr>
      <t>&lt;90</t>
    </r>
    <r>
      <rPr>
        <sz val="11"/>
        <color theme="1"/>
        <rFont val="宋体"/>
        <family val="3"/>
        <charset val="134"/>
      </rPr>
      <t>°时，将就角度保持不变的话，则应该阻止风力和距离的取反，此时将会是正常的小角度反抛的图景</t>
    </r>
    <r>
      <rPr>
        <sz val="11"/>
        <color theme="1"/>
        <rFont val="Tahoma"/>
        <family val="2"/>
        <charset val="134"/>
      </rPr>
      <t>(</t>
    </r>
    <r>
      <rPr>
        <sz val="11"/>
        <color theme="1"/>
        <rFont val="宋体"/>
        <family val="3"/>
        <charset val="134"/>
      </rPr>
      <t>若输入的风力</t>
    </r>
    <r>
      <rPr>
        <sz val="11"/>
        <color theme="1"/>
        <rFont val="Tahoma"/>
        <family val="2"/>
        <charset val="134"/>
      </rPr>
      <t>&lt;0)</t>
    </r>
    <r>
      <rPr>
        <sz val="11"/>
        <color theme="1"/>
        <rFont val="宋体"/>
        <family val="3"/>
        <charset val="134"/>
      </rPr>
      <t>；正对时</t>
    </r>
    <r>
      <rPr>
        <sz val="11"/>
        <color theme="1"/>
        <rFont val="Tahoma"/>
        <family val="2"/>
        <charset val="134"/>
      </rPr>
      <t>(</t>
    </r>
    <r>
      <rPr>
        <sz val="11"/>
        <color theme="1"/>
        <rFont val="宋体"/>
        <family val="3"/>
        <charset val="134"/>
      </rPr>
      <t>输入的</t>
    </r>
    <r>
      <rPr>
        <sz val="11"/>
        <color theme="1"/>
        <rFont val="Tahoma"/>
        <family val="2"/>
        <charset val="134"/>
      </rPr>
      <t>x&gt;0</t>
    </r>
    <r>
      <rPr>
        <sz val="11"/>
        <color theme="1"/>
        <rFont val="宋体"/>
        <family val="3"/>
        <charset val="134"/>
      </rPr>
      <t>时</t>
    </r>
    <r>
      <rPr>
        <sz val="11"/>
        <color theme="1"/>
        <rFont val="Tahoma"/>
        <family val="2"/>
        <charset val="134"/>
      </rPr>
      <t>)</t>
    </r>
    <r>
      <rPr>
        <sz val="11"/>
        <color theme="1"/>
        <rFont val="宋体"/>
        <family val="3"/>
        <charset val="134"/>
      </rPr>
      <t>，当真实角度</t>
    </r>
    <r>
      <rPr>
        <sz val="11"/>
        <color theme="1"/>
        <rFont val="Tahoma"/>
        <family val="2"/>
        <charset val="134"/>
      </rPr>
      <t>&gt;90</t>
    </r>
    <r>
      <rPr>
        <sz val="11"/>
        <color theme="1"/>
        <rFont val="宋体"/>
        <family val="3"/>
        <charset val="134"/>
      </rPr>
      <t>°时，角度取反了但风力和距离却不变</t>
    </r>
    <r>
      <rPr>
        <sz val="11"/>
        <color theme="1"/>
        <rFont val="Tahoma"/>
        <family val="2"/>
        <charset val="134"/>
      </rPr>
      <t>(</t>
    </r>
    <r>
      <rPr>
        <sz val="11"/>
        <color theme="1"/>
        <rFont val="宋体"/>
        <family val="3"/>
        <charset val="134"/>
      </rPr>
      <t>若风力为正</t>
    </r>
    <r>
      <rPr>
        <sz val="11"/>
        <color theme="1"/>
        <rFont val="Tahoma"/>
        <family val="2"/>
        <charset val="134"/>
      </rPr>
      <t>)</t>
    </r>
    <r>
      <rPr>
        <sz val="11"/>
        <color theme="1"/>
        <rFont val="宋体"/>
        <family val="3"/>
        <charset val="134"/>
      </rPr>
      <t>，若将就风力和距离不变，而使得取反的角度回来保持原角度不变，则图景仍然保留大角度正抛</t>
    </r>
    <r>
      <rPr>
        <sz val="11"/>
        <color theme="1"/>
        <rFont val="Tahoma"/>
        <family val="2"/>
        <charset val="134"/>
      </rPr>
      <t>(</t>
    </r>
    <r>
      <rPr>
        <sz val="11"/>
        <color theme="1"/>
        <rFont val="宋体"/>
        <family val="3"/>
        <charset val="134"/>
      </rPr>
      <t>若输入的风力</t>
    </r>
    <r>
      <rPr>
        <sz val="11"/>
        <color theme="1"/>
        <rFont val="Tahoma"/>
        <family val="2"/>
        <charset val="134"/>
      </rPr>
      <t>&gt;0)</t>
    </r>
    <r>
      <rPr>
        <sz val="11"/>
        <color theme="1"/>
        <rFont val="宋体"/>
        <family val="3"/>
        <charset val="134"/>
      </rPr>
      <t>。</t>
    </r>
    <phoneticPr fontId="1" type="noConversion"/>
  </si>
  <si>
    <r>
      <rPr>
        <sz val="11"/>
        <color theme="1"/>
        <rFont val="宋体"/>
        <family val="3"/>
        <charset val="134"/>
      </rPr>
      <t>当</t>
    </r>
    <r>
      <rPr>
        <sz val="11"/>
        <color theme="1"/>
        <rFont val="Tahoma"/>
        <family val="2"/>
        <charset val="134"/>
      </rPr>
      <t>F8</t>
    </r>
    <r>
      <rPr>
        <sz val="11"/>
        <color theme="1"/>
        <rFont val="宋体"/>
        <family val="3"/>
        <charset val="134"/>
      </rPr>
      <t>中给出了自己坐标系下的</t>
    </r>
    <r>
      <rPr>
        <sz val="11"/>
        <color theme="1"/>
        <rFont val="Tahoma"/>
        <family val="2"/>
        <charset val="134"/>
      </rPr>
      <t>x</t>
    </r>
    <r>
      <rPr>
        <sz val="11"/>
        <color theme="1"/>
        <rFont val="宋体"/>
        <family val="3"/>
        <charset val="134"/>
      </rPr>
      <t>值后</t>
    </r>
    <r>
      <rPr>
        <sz val="11"/>
        <color theme="1"/>
        <rFont val="Tahoma"/>
        <family val="2"/>
        <charset val="134"/>
      </rPr>
      <t>(</t>
    </r>
    <r>
      <rPr>
        <sz val="11"/>
        <color theme="1"/>
        <rFont val="宋体"/>
        <family val="3"/>
        <charset val="134"/>
      </rPr>
      <t>一定是真实的，因为是纯人工的，若不真实，是人工的责任</t>
    </r>
    <r>
      <rPr>
        <sz val="11"/>
        <color theme="1"/>
        <rFont val="Tahoma"/>
        <family val="2"/>
        <charset val="134"/>
      </rPr>
      <t>)</t>
    </r>
    <r>
      <rPr>
        <sz val="11"/>
        <color theme="1"/>
        <rFont val="宋体"/>
        <family val="3"/>
        <charset val="134"/>
      </rPr>
      <t>，若对方在我方后面，则风力</t>
    </r>
    <r>
      <rPr>
        <sz val="11"/>
        <color theme="1"/>
        <rFont val="Tahoma"/>
        <family val="2"/>
        <charset val="134"/>
      </rPr>
      <t>a</t>
    </r>
    <r>
      <rPr>
        <sz val="11"/>
        <color theme="1"/>
        <rFont val="宋体"/>
        <family val="3"/>
        <charset val="134"/>
      </rPr>
      <t>取输入的真实风力的负值；若对方在我方的前面，风力</t>
    </r>
    <r>
      <rPr>
        <sz val="11"/>
        <color theme="1"/>
        <rFont val="Tahoma"/>
        <family val="2"/>
        <charset val="134"/>
      </rPr>
      <t>a</t>
    </r>
    <r>
      <rPr>
        <sz val="11"/>
        <color theme="1"/>
        <rFont val="宋体"/>
        <family val="3"/>
        <charset val="134"/>
      </rPr>
      <t>取真实风力；即保证代入</t>
    </r>
    <r>
      <rPr>
        <sz val="11"/>
        <color theme="1"/>
        <rFont val="Tahoma"/>
        <family val="2"/>
        <charset val="134"/>
      </rPr>
      <t>M</t>
    </r>
    <r>
      <rPr>
        <sz val="11"/>
        <color theme="1"/>
        <rFont val="宋体"/>
        <family val="3"/>
        <charset val="134"/>
      </rPr>
      <t>的风力值永远是正对对方的坐标系下的量，这对应于修正位移</t>
    </r>
    <r>
      <rPr>
        <sz val="11"/>
        <color theme="1"/>
        <rFont val="Tahoma"/>
        <family val="2"/>
        <charset val="134"/>
      </rPr>
      <t>x</t>
    </r>
    <r>
      <rPr>
        <sz val="11"/>
        <color theme="1"/>
        <rFont val="宋体"/>
        <family val="3"/>
        <charset val="134"/>
      </rPr>
      <t>也总是正值，即正对对方的坐标系下的量——当风力</t>
    </r>
    <r>
      <rPr>
        <sz val="11"/>
        <color theme="1"/>
        <rFont val="Tahoma"/>
        <family val="2"/>
        <charset val="134"/>
      </rPr>
      <t>a</t>
    </r>
    <r>
      <rPr>
        <sz val="11"/>
        <color theme="1"/>
        <rFont val="宋体"/>
        <family val="3"/>
        <charset val="134"/>
      </rPr>
      <t>跟着本来是负的修正位移</t>
    </r>
    <r>
      <rPr>
        <sz val="11"/>
        <color theme="1"/>
        <rFont val="Tahoma"/>
        <family val="2"/>
        <charset val="134"/>
      </rPr>
      <t>x</t>
    </r>
    <r>
      <rPr>
        <sz val="11"/>
        <color theme="1"/>
        <rFont val="宋体"/>
        <family val="3"/>
        <charset val="134"/>
      </rPr>
      <t>的取正，也变号后，带入两个与相对于自己的坐标系下的风力和距离相反的物理量，而此时带入的角度又是</t>
    </r>
    <r>
      <rPr>
        <sz val="11"/>
        <color theme="1"/>
        <rFont val="Tahoma"/>
        <family val="2"/>
        <charset val="134"/>
      </rPr>
      <t>E11</t>
    </r>
    <r>
      <rPr>
        <sz val="11"/>
        <color theme="1"/>
        <rFont val="宋体"/>
        <family val="3"/>
        <charset val="134"/>
      </rPr>
      <t>这个将真实值变得</t>
    </r>
    <r>
      <rPr>
        <sz val="11"/>
        <color theme="1"/>
        <rFont val="Tahoma"/>
        <family val="2"/>
        <charset val="134"/>
      </rPr>
      <t>&lt;90°</t>
    </r>
    <r>
      <rPr>
        <sz val="11"/>
        <color theme="1"/>
        <rFont val="宋体"/>
        <family val="3"/>
        <charset val="134"/>
      </rPr>
      <t>的</t>
    </r>
    <r>
      <rPr>
        <sz val="11"/>
        <color theme="1"/>
        <rFont val="Tahoma"/>
        <family val="2"/>
        <charset val="134"/>
      </rPr>
      <t>(</t>
    </r>
    <r>
      <rPr>
        <sz val="11"/>
        <color theme="1"/>
        <rFont val="宋体"/>
        <family val="3"/>
        <charset val="134"/>
      </rPr>
      <t>这里会有点问题：背对时，只有当真实角度</t>
    </r>
    <r>
      <rPr>
        <sz val="11"/>
        <color theme="1"/>
        <rFont val="Tahoma"/>
        <family val="2"/>
        <charset val="134"/>
      </rPr>
      <t>&gt;90°</t>
    </r>
    <r>
      <rPr>
        <sz val="11"/>
        <color theme="1"/>
        <rFont val="宋体"/>
        <family val="3"/>
        <charset val="134"/>
      </rPr>
      <t>时，所得的虚拟正对对方的自己坐标系，才是等效于原坐标系的；否则将是风力和距离取反，而角度不变，仍为</t>
    </r>
    <r>
      <rPr>
        <sz val="11"/>
        <color theme="1"/>
        <rFont val="Tahoma"/>
        <family val="2"/>
        <charset val="134"/>
      </rPr>
      <t>&lt;90°</t>
    </r>
    <r>
      <rPr>
        <sz val="11"/>
        <color theme="1"/>
        <rFont val="宋体"/>
        <family val="3"/>
        <charset val="134"/>
      </rPr>
      <t>的错误情况，本来真实情况是想反抛的</t>
    </r>
    <r>
      <rPr>
        <sz val="11"/>
        <color theme="1"/>
        <rFont val="Tahoma"/>
        <family val="2"/>
        <charset val="134"/>
      </rPr>
      <t>(</t>
    </r>
    <r>
      <rPr>
        <sz val="11"/>
        <color theme="1"/>
        <rFont val="宋体"/>
        <family val="3"/>
        <charset val="134"/>
      </rPr>
      <t>若风力为负</t>
    </r>
    <r>
      <rPr>
        <sz val="11"/>
        <color theme="1"/>
        <rFont val="Tahoma"/>
        <family val="2"/>
        <charset val="134"/>
      </rPr>
      <t>)</t>
    </r>
    <r>
      <rPr>
        <sz val="11"/>
        <color theme="1"/>
        <rFont val="宋体"/>
        <family val="3"/>
        <charset val="134"/>
      </rPr>
      <t>，结果变成风力和距离取反后</t>
    </r>
    <r>
      <rPr>
        <sz val="11"/>
        <color theme="1"/>
        <rFont val="Tahoma"/>
        <family val="2"/>
        <charset val="134"/>
      </rPr>
      <t>(</t>
    </r>
    <r>
      <rPr>
        <sz val="11"/>
        <color theme="1"/>
        <rFont val="宋体"/>
        <family val="3"/>
        <charset val="134"/>
      </rPr>
      <t>角度不变</t>
    </r>
    <r>
      <rPr>
        <sz val="11"/>
        <color theme="1"/>
        <rFont val="Tahoma"/>
        <family val="2"/>
        <charset val="134"/>
      </rPr>
      <t>)</t>
    </r>
    <r>
      <rPr>
        <sz val="11"/>
        <color theme="1"/>
        <rFont val="宋体"/>
        <family val="3"/>
        <charset val="134"/>
      </rPr>
      <t>的正抛了——此时如果要将就角度保持不变的话，则应该阻止风力和距离的取反，此时将会是正常的小角度反抛的图景，人物朝着右边</t>
    </r>
    <r>
      <rPr>
        <sz val="11"/>
        <color theme="1"/>
        <rFont val="Tahoma"/>
        <family val="2"/>
        <charset val="134"/>
      </rPr>
      <t>(</t>
    </r>
    <r>
      <rPr>
        <sz val="11"/>
        <color theme="1"/>
        <rFont val="宋体"/>
        <family val="3"/>
        <charset val="134"/>
      </rPr>
      <t>前提是输入的风力是负值，若输入的风力是正值，则该打不到还是打不到</t>
    </r>
    <r>
      <rPr>
        <sz val="11"/>
        <color theme="1"/>
        <rFont val="Tahoma"/>
        <family val="2"/>
        <charset val="134"/>
      </rPr>
      <t>)</t>
    </r>
    <r>
      <rPr>
        <sz val="11"/>
        <color theme="1"/>
        <rFont val="宋体"/>
        <family val="3"/>
        <charset val="134"/>
      </rPr>
      <t>；若将就风力和距离保持取反的话，角度得取大于</t>
    </r>
    <r>
      <rPr>
        <sz val="11"/>
        <color theme="1"/>
        <rFont val="Tahoma"/>
        <family val="2"/>
        <charset val="134"/>
      </rPr>
      <t>90°</t>
    </r>
    <r>
      <rPr>
        <sz val="11"/>
        <color theme="1"/>
        <rFont val="宋体"/>
        <family val="3"/>
        <charset val="134"/>
      </rPr>
      <t>，即从一个朝着右边小角度反抛的图景变成朝着右边大角度正抛的图景；同样，正对时，当真实角度</t>
    </r>
    <r>
      <rPr>
        <sz val="11"/>
        <color theme="1"/>
        <rFont val="Tahoma"/>
        <family val="2"/>
        <charset val="134"/>
      </rPr>
      <t>&gt;90°</t>
    </r>
    <r>
      <rPr>
        <sz val="11"/>
        <color theme="1"/>
        <rFont val="宋体"/>
        <family val="3"/>
        <charset val="134"/>
      </rPr>
      <t>时，角度取反了但风力和距离却不变</t>
    </r>
    <r>
      <rPr>
        <sz val="11"/>
        <color theme="1"/>
        <rFont val="Tahoma"/>
        <family val="2"/>
        <charset val="134"/>
      </rPr>
      <t>(</t>
    </r>
    <r>
      <rPr>
        <sz val="11"/>
        <color theme="1"/>
        <rFont val="宋体"/>
        <family val="3"/>
        <charset val="134"/>
      </rPr>
      <t>若风力为正</t>
    </r>
    <r>
      <rPr>
        <sz val="11"/>
        <color theme="1"/>
        <rFont val="Tahoma"/>
        <family val="2"/>
        <charset val="134"/>
      </rPr>
      <t>)</t>
    </r>
    <r>
      <rPr>
        <sz val="11"/>
        <color theme="1"/>
        <rFont val="宋体"/>
        <family val="3"/>
        <charset val="134"/>
      </rPr>
      <t>，此时若将就角度保持取反，则应将风力和距离取反，之后整个图景从大角度正抛变成小角度反抛，人物朝着右边</t>
    </r>
    <r>
      <rPr>
        <sz val="11"/>
        <color theme="1"/>
        <rFont val="Tahoma"/>
        <family val="2"/>
        <charset val="134"/>
      </rPr>
      <t>(</t>
    </r>
    <r>
      <rPr>
        <sz val="11"/>
        <color theme="1"/>
        <rFont val="宋体"/>
        <family val="3"/>
        <charset val="134"/>
      </rPr>
      <t>前提是风力是正的，否则该打不到还是打不到</t>
    </r>
    <r>
      <rPr>
        <sz val="11"/>
        <color theme="1"/>
        <rFont val="Tahoma"/>
        <family val="2"/>
        <charset val="134"/>
      </rPr>
      <t>)</t>
    </r>
    <r>
      <rPr>
        <sz val="11"/>
        <color theme="1"/>
        <rFont val="宋体"/>
        <family val="3"/>
        <charset val="134"/>
      </rPr>
      <t>，若将就风力和距离不变，而使得取反的角度回来保持原角度不变，则图景仍然保留大角度正抛</t>
    </r>
    <r>
      <rPr>
        <sz val="11"/>
        <color theme="1"/>
        <rFont val="Tahoma"/>
        <family val="2"/>
        <charset val="134"/>
      </rPr>
      <t>)</t>
    </r>
    <r>
      <rPr>
        <sz val="11"/>
        <color theme="1"/>
        <rFont val="宋体"/>
        <family val="3"/>
        <charset val="134"/>
      </rPr>
      <t>，因此三者共同构成一个等效的正对对方的虚拟的自己的坐标系。</t>
    </r>
    <phoneticPr fontId="1" type="noConversion"/>
  </si>
  <si>
    <r>
      <rPr>
        <sz val="11"/>
        <color rgb="FFFF0000"/>
        <rFont val="宋体"/>
        <family val="3"/>
        <charset val="134"/>
      </rPr>
      <t>输出值</t>
    </r>
    <r>
      <rPr>
        <sz val="11"/>
        <color rgb="FFFF0000"/>
        <rFont val="Tahoma"/>
        <family val="2"/>
        <charset val="134"/>
      </rPr>
      <t>v0</t>
    </r>
    <phoneticPr fontId="1" type="noConversion"/>
  </si>
  <si>
    <t>角度α</t>
    <phoneticPr fontId="1" type="noConversion"/>
  </si>
  <si>
    <r>
      <rPr>
        <sz val="11"/>
        <color theme="9" tint="-0.499984740745262"/>
        <rFont val="宋体"/>
        <family val="3"/>
        <charset val="134"/>
      </rPr>
      <t>风力</t>
    </r>
    <r>
      <rPr>
        <sz val="11"/>
        <color theme="9" tint="-0.499984740745262"/>
        <rFont val="Tahoma"/>
        <family val="2"/>
        <charset val="134"/>
      </rPr>
      <t>a</t>
    </r>
    <phoneticPr fontId="1" type="noConversion"/>
  </si>
  <si>
    <t>反解目标</t>
    <phoneticPr fontId="1" type="noConversion"/>
  </si>
  <si>
    <r>
      <rPr>
        <sz val="11"/>
        <color rgb="FFFF0000"/>
        <rFont val="宋体"/>
        <family val="3"/>
        <charset val="134"/>
      </rPr>
      <t>目标值</t>
    </r>
    <r>
      <rPr>
        <sz val="11"/>
        <color rgb="FFFF0000"/>
        <rFont val="Tahoma"/>
        <family val="2"/>
        <charset val="134"/>
      </rPr>
      <t>M</t>
    </r>
    <phoneticPr fontId="1" type="noConversion"/>
  </si>
  <si>
    <t>相对位移y</t>
    <phoneticPr fontId="1" type="noConversion"/>
  </si>
  <si>
    <t>相对位移x</t>
    <phoneticPr fontId="1" type="noConversion"/>
  </si>
  <si>
    <t>实际数据的Simplify</t>
    <phoneticPr fontId="1" type="noConversion"/>
  </si>
  <si>
    <r>
      <rPr>
        <sz val="11"/>
        <color rgb="FF00B050"/>
        <rFont val="宋体"/>
        <family val="3"/>
        <charset val="134"/>
      </rPr>
      <t>新原点</t>
    </r>
    <r>
      <rPr>
        <sz val="11"/>
        <color rgb="FF00B050"/>
        <rFont val="Tahoma"/>
        <family val="2"/>
        <charset val="134"/>
      </rPr>
      <t>y0</t>
    </r>
    <phoneticPr fontId="1" type="noConversion"/>
  </si>
  <si>
    <t>新原点x0</t>
    <phoneticPr fontId="1" type="noConversion"/>
  </si>
  <si>
    <t>考虑r程度</t>
    <phoneticPr fontId="1" type="noConversion"/>
  </si>
  <si>
    <r>
      <t>(sin</t>
    </r>
    <r>
      <rPr>
        <sz val="11"/>
        <color theme="1"/>
        <rFont val="宋体"/>
        <family val="3"/>
        <charset val="134"/>
      </rPr>
      <t>用于进一步削弱指数部分在低角度部分数值</t>
    </r>
    <r>
      <rPr>
        <sz val="11"/>
        <color theme="1"/>
        <rFont val="Tahoma"/>
        <family val="2"/>
        <charset val="134"/>
      </rPr>
      <t>(</t>
    </r>
    <r>
      <rPr>
        <sz val="11"/>
        <color theme="1"/>
        <rFont val="宋体"/>
        <family val="3"/>
        <charset val="134"/>
      </rPr>
      <t>而保留高角度数值</t>
    </r>
    <r>
      <rPr>
        <sz val="11"/>
        <color theme="1"/>
        <rFont val="Tahoma"/>
        <family val="2"/>
        <charset val="134"/>
      </rPr>
      <t>)</t>
    </r>
    <r>
      <rPr>
        <sz val="11"/>
        <color theme="1"/>
        <rFont val="宋体"/>
        <family val="3"/>
        <charset val="134"/>
      </rPr>
      <t>，进而增大负指数总体在低角度部分的幅值，更快地达到低角度系数趋近于</t>
    </r>
    <r>
      <rPr>
        <sz val="11"/>
        <color theme="1"/>
        <rFont val="Tahoma"/>
        <family val="2"/>
        <charset val="134"/>
      </rPr>
      <t>1</t>
    </r>
    <r>
      <rPr>
        <sz val="11"/>
        <color theme="1"/>
        <rFont val="宋体"/>
        <family val="3"/>
        <charset val="134"/>
      </rPr>
      <t>的要求；</t>
    </r>
    <r>
      <rPr>
        <sz val="11"/>
        <color theme="1"/>
        <rFont val="Tahoma"/>
        <family val="2"/>
        <charset val="134"/>
      </rPr>
      <t>tan</t>
    </r>
    <r>
      <rPr>
        <sz val="11"/>
        <color theme="1"/>
        <rFont val="宋体"/>
        <family val="3"/>
        <charset val="134"/>
      </rPr>
      <t>用于进一步</t>
    </r>
    <r>
      <rPr>
        <sz val="11"/>
        <color theme="1"/>
        <rFont val="Tahoma"/>
        <family val="2"/>
        <charset val="134"/>
      </rPr>
      <t>enhance</t>
    </r>
    <r>
      <rPr>
        <sz val="11"/>
        <color theme="1"/>
        <rFont val="宋体"/>
        <family val="3"/>
        <charset val="134"/>
      </rPr>
      <t>增强指数部分的高角度部分</t>
    </r>
    <r>
      <rPr>
        <sz val="11"/>
        <color theme="1"/>
        <rFont val="Tahoma"/>
        <family val="2"/>
        <charset val="134"/>
      </rPr>
      <t>(</t>
    </r>
    <r>
      <rPr>
        <sz val="11"/>
        <color theme="1"/>
        <rFont val="宋体"/>
        <family val="3"/>
        <charset val="134"/>
      </rPr>
      <t>而不影响低角度极限为</t>
    </r>
    <r>
      <rPr>
        <sz val="11"/>
        <color theme="1"/>
        <rFont val="Tahoma"/>
        <family val="2"/>
        <charset val="134"/>
      </rPr>
      <t>0</t>
    </r>
    <r>
      <rPr>
        <sz val="11"/>
        <color theme="1"/>
        <rFont val="宋体"/>
        <family val="3"/>
        <charset val="134"/>
      </rPr>
      <t>，虽</t>
    </r>
    <r>
      <rPr>
        <sz val="11"/>
        <color theme="1"/>
        <rFont val="Tahoma"/>
        <family val="2"/>
        <charset val="134"/>
      </rPr>
      <t>tan</t>
    </r>
    <r>
      <rPr>
        <sz val="11"/>
        <color theme="1"/>
        <rFont val="宋体"/>
        <family val="3"/>
        <charset val="134"/>
      </rPr>
      <t>的低角度极限也为</t>
    </r>
    <r>
      <rPr>
        <sz val="11"/>
        <color theme="1"/>
        <rFont val="Tahoma"/>
        <family val="2"/>
        <charset val="134"/>
      </rPr>
      <t>0</t>
    </r>
    <r>
      <rPr>
        <sz val="11"/>
        <color theme="1"/>
        <rFont val="宋体"/>
        <family val="3"/>
        <charset val="134"/>
      </rPr>
      <t>，但比</t>
    </r>
    <r>
      <rPr>
        <sz val="11"/>
        <color theme="1"/>
        <rFont val="Tahoma"/>
        <family val="2"/>
        <charset val="134"/>
      </rPr>
      <t>sin</t>
    </r>
    <r>
      <rPr>
        <sz val="11"/>
        <color theme="1"/>
        <rFont val="宋体"/>
        <family val="3"/>
        <charset val="134"/>
      </rPr>
      <t>大</t>
    </r>
    <r>
      <rPr>
        <sz val="11"/>
        <color theme="1"/>
        <rFont val="Tahoma"/>
        <family val="2"/>
        <charset val="134"/>
      </rPr>
      <t>)</t>
    </r>
    <r>
      <rPr>
        <sz val="11"/>
        <color theme="1"/>
        <rFont val="宋体"/>
        <family val="3"/>
        <charset val="134"/>
      </rPr>
      <t>，进而削弱出手半径对高角度抛射的影响因子，更快地达到此时系数趋近于</t>
    </r>
    <r>
      <rPr>
        <sz val="11"/>
        <color theme="1"/>
        <rFont val="Tahoma"/>
        <family val="2"/>
        <charset val="134"/>
      </rPr>
      <t>0</t>
    </r>
    <r>
      <rPr>
        <sz val="11"/>
        <color theme="1"/>
        <rFont val="宋体"/>
        <family val="3"/>
        <charset val="134"/>
      </rPr>
      <t>的要求；从而实现两极分化的图景</t>
    </r>
    <r>
      <rPr>
        <sz val="11"/>
        <color theme="1"/>
        <rFont val="Tahoma"/>
        <family val="2"/>
        <charset val="134"/>
      </rPr>
      <t>)</t>
    </r>
    <phoneticPr fontId="1" type="noConversion"/>
  </si>
  <si>
    <t>角度因子2</t>
    <phoneticPr fontId="1" type="noConversion"/>
  </si>
  <si>
    <r>
      <rPr>
        <sz val="11"/>
        <color rgb="FF007635"/>
        <rFont val="宋体"/>
        <family val="3"/>
        <charset val="134"/>
      </rPr>
      <t>修正位移</t>
    </r>
    <r>
      <rPr>
        <sz val="11"/>
        <color rgb="FF007635"/>
        <rFont val="Tahoma"/>
        <family val="2"/>
        <charset val="134"/>
      </rPr>
      <t>y</t>
    </r>
    <phoneticPr fontId="1" type="noConversion"/>
  </si>
  <si>
    <r>
      <rPr>
        <sz val="11"/>
        <color rgb="FF007635"/>
        <rFont val="宋体"/>
        <family val="3"/>
        <charset val="134"/>
      </rPr>
      <t>修正位移</t>
    </r>
    <r>
      <rPr>
        <sz val="11"/>
        <color rgb="FF007635"/>
        <rFont val="Tahoma"/>
        <family val="2"/>
        <charset val="134"/>
      </rPr>
      <t>x</t>
    </r>
    <phoneticPr fontId="1" type="noConversion"/>
  </si>
  <si>
    <r>
      <t>(</t>
    </r>
    <r>
      <rPr>
        <sz val="11"/>
        <color theme="1"/>
        <rFont val="宋体"/>
        <family val="3"/>
        <charset val="134"/>
      </rPr>
      <t>用于纪念，未采用；之后我把</t>
    </r>
    <r>
      <rPr>
        <sz val="11"/>
        <color theme="1"/>
        <rFont val="Tahoma"/>
        <family val="2"/>
        <charset val="134"/>
      </rPr>
      <t>cos</t>
    </r>
    <r>
      <rPr>
        <sz val="11"/>
        <color theme="1"/>
        <rFont val="宋体"/>
        <family val="3"/>
        <charset val="134"/>
      </rPr>
      <t>改为了负指数形式，它们均是自变量→</t>
    </r>
    <r>
      <rPr>
        <sz val="11"/>
        <color theme="1"/>
        <rFont val="Tahoma"/>
        <family val="2"/>
        <charset val="134"/>
      </rPr>
      <t>0</t>
    </r>
    <r>
      <rPr>
        <sz val="11"/>
        <color theme="1"/>
        <rFont val="宋体"/>
        <family val="3"/>
        <charset val="134"/>
      </rPr>
      <t>时函数值趋近于</t>
    </r>
    <r>
      <rPr>
        <sz val="11"/>
        <color theme="1"/>
        <rFont val="Tahoma"/>
        <family val="2"/>
        <charset val="134"/>
      </rPr>
      <t>1</t>
    </r>
    <r>
      <rPr>
        <sz val="11"/>
        <color theme="1"/>
        <rFont val="宋体"/>
        <family val="3"/>
        <charset val="134"/>
      </rPr>
      <t>，自变量趋近于某值时函数值→</t>
    </r>
    <r>
      <rPr>
        <sz val="11"/>
        <color theme="1"/>
        <rFont val="Tahoma"/>
        <family val="2"/>
        <charset val="134"/>
      </rPr>
      <t>0</t>
    </r>
    <r>
      <rPr>
        <sz val="11"/>
        <color theme="1"/>
        <rFont val="宋体"/>
        <family val="3"/>
        <charset val="134"/>
      </rPr>
      <t>，该值对于</t>
    </r>
    <r>
      <rPr>
        <sz val="11"/>
        <color theme="1"/>
        <rFont val="Tahoma"/>
        <family val="2"/>
        <charset val="134"/>
      </rPr>
      <t>cos</t>
    </r>
    <r>
      <rPr>
        <sz val="11"/>
        <color theme="1"/>
        <rFont val="宋体"/>
        <family val="3"/>
        <charset val="134"/>
      </rPr>
      <t>来说是π</t>
    </r>
    <r>
      <rPr>
        <sz val="11"/>
        <color theme="1"/>
        <rFont val="Tahoma"/>
        <family val="2"/>
        <charset val="134"/>
      </rPr>
      <t>/2</t>
    </r>
    <r>
      <rPr>
        <sz val="11"/>
        <color theme="1"/>
        <rFont val="宋体"/>
        <family val="3"/>
        <charset val="134"/>
      </rPr>
      <t>，对于负指数来说，是无穷大；于是我们用</t>
    </r>
    <r>
      <rPr>
        <sz val="11"/>
        <color theme="1"/>
        <rFont val="Tahoma"/>
        <family val="2"/>
        <charset val="134"/>
      </rPr>
      <t>sintan</t>
    </r>
    <r>
      <rPr>
        <sz val="11"/>
        <color theme="1"/>
        <rFont val="宋体"/>
        <family val="3"/>
        <charset val="134"/>
      </rPr>
      <t>相乘的形式作为负指数的自变量</t>
    </r>
    <r>
      <rPr>
        <sz val="11"/>
        <color theme="1"/>
        <rFont val="Tahoma"/>
        <family val="2"/>
        <charset val="134"/>
      </rPr>
      <t>(</t>
    </r>
    <r>
      <rPr>
        <sz val="11"/>
        <color theme="1"/>
        <rFont val="宋体"/>
        <family val="3"/>
        <charset val="134"/>
      </rPr>
      <t>指数部分</t>
    </r>
    <r>
      <rPr>
        <sz val="11"/>
        <color theme="1"/>
        <rFont val="Tahoma"/>
        <family val="2"/>
        <charset val="134"/>
      </rPr>
      <t>)</t>
    </r>
    <r>
      <rPr>
        <sz val="11"/>
        <color theme="1"/>
        <rFont val="宋体"/>
        <family val="3"/>
        <charset val="134"/>
      </rPr>
      <t>，让负指数随着真正的自变量——角度的增加，而更快地趋近于</t>
    </r>
    <r>
      <rPr>
        <sz val="11"/>
        <color theme="1"/>
        <rFont val="Tahoma"/>
        <family val="2"/>
        <charset val="134"/>
      </rPr>
      <t>0</t>
    </r>
    <r>
      <rPr>
        <sz val="11"/>
        <color theme="1"/>
        <rFont val="宋体"/>
        <family val="3"/>
        <charset val="134"/>
      </rPr>
      <t>，即使得高角度时，出手半径的影响比原先低很多</t>
    </r>
    <r>
      <rPr>
        <sz val="11"/>
        <color theme="1"/>
        <rFont val="Tahoma"/>
        <family val="2"/>
        <charset val="134"/>
      </rPr>
      <t>)</t>
    </r>
    <phoneticPr fontId="1" type="noConversion"/>
  </si>
  <si>
    <t>角度因子1</t>
    <phoneticPr fontId="1" type="noConversion"/>
  </si>
  <si>
    <r>
      <t>(</t>
    </r>
    <r>
      <rPr>
        <sz val="11"/>
        <color theme="1"/>
        <rFont val="宋体"/>
        <family val="3"/>
        <charset val="134"/>
      </rPr>
      <t>像角度一样，距离越远、角度越高，出手半径得越小；距离越近、角度越低，出手半径得越大</t>
    </r>
    <r>
      <rPr>
        <sz val="11"/>
        <color theme="1"/>
        <rFont val="Tahoma"/>
        <family val="2"/>
        <charset val="134"/>
      </rPr>
      <t>)</t>
    </r>
    <phoneticPr fontId="1" type="noConversion"/>
  </si>
  <si>
    <t>Vx</t>
    <phoneticPr fontId="1" type="noConversion"/>
  </si>
  <si>
    <t>力度修正</t>
    <phoneticPr fontId="1" type="noConversion"/>
  </si>
  <si>
    <t>g</t>
    <phoneticPr fontId="1" type="noConversion"/>
  </si>
  <si>
    <t>k</t>
    <phoneticPr fontId="1" type="noConversion"/>
  </si>
  <si>
    <t>a修正系数</t>
    <phoneticPr fontId="1" type="noConversion"/>
  </si>
  <si>
    <t>出手半径r</t>
    <phoneticPr fontId="1" type="noConversion"/>
  </si>
  <si>
    <r>
      <rPr>
        <sz val="11"/>
        <color theme="1"/>
        <rFont val="宋体"/>
        <family val="3"/>
        <charset val="134"/>
      </rPr>
      <t>让角度更接近</t>
    </r>
    <r>
      <rPr>
        <sz val="11"/>
        <color theme="1"/>
        <rFont val="Tahoma"/>
        <family val="2"/>
        <charset val="134"/>
      </rPr>
      <t>90°</t>
    </r>
    <r>
      <rPr>
        <sz val="11"/>
        <color theme="1"/>
        <rFont val="宋体"/>
        <family val="3"/>
        <charset val="134"/>
      </rPr>
      <t>了些，力度更大了些。</t>
    </r>
    <phoneticPr fontId="1" type="noConversion"/>
  </si>
  <si>
    <r>
      <rPr>
        <sz val="11"/>
        <color theme="1"/>
        <rFont val="宋体"/>
        <family val="3"/>
        <charset val="134"/>
      </rPr>
      <t>所以风力修正系数</t>
    </r>
    <r>
      <rPr>
        <sz val="11"/>
        <color theme="1"/>
        <rFont val="Tahoma"/>
        <family val="2"/>
        <charset val="134"/>
      </rPr>
      <t>:|g|=1:28.6</t>
    </r>
    <phoneticPr fontId="1" type="noConversion"/>
  </si>
  <si>
    <r>
      <rPr>
        <sz val="11"/>
        <color theme="1"/>
        <rFont val="宋体"/>
        <family val="3"/>
        <charset val="134"/>
      </rPr>
      <t>所以风力修正系数</t>
    </r>
    <r>
      <rPr>
        <sz val="11"/>
        <color theme="1"/>
        <rFont val="Tahoma"/>
        <family val="2"/>
        <charset val="134"/>
      </rPr>
      <t>:|g|=1:28.6</t>
    </r>
    <phoneticPr fontId="1" type="noConversion"/>
  </si>
  <si>
    <t>最低/高角度，限制角，标记1</t>
    <phoneticPr fontId="1" type="noConversion"/>
  </si>
  <si>
    <t>最低/高角度，限制角，标记2</t>
    <phoneticPr fontId="1" type="noConversion"/>
  </si>
  <si>
    <t>如果运行不畅，请将sheet2，即该工作表，置于默认最前(点一下下方的该表头/该表的标题:不可更改v0的kv算法 (3))，之后保存退出</t>
    <phoneticPr fontId="1" type="noConversion"/>
  </si>
  <si>
    <t>diff</t>
    <phoneticPr fontId="1" type="noConversion"/>
  </si>
  <si>
    <t>percent</t>
    <phoneticPr fontId="1" type="noConversion"/>
  </si>
  <si>
    <t>半抛</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</si>
</sst>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Tahoma"/>
      <family val="2"/>
      <charset val="134"/>
    </font>
    <font>
      <sz val="9"/>
      <name val="Tahoma"/>
      <family val="2"/>
      <charset val="134"/>
    </font>
    <font>
      <sz val="11"/>
      <color theme="1"/>
      <name val="宋体"/>
      <family val="3"/>
      <charset val="134"/>
    </font>
    <font>
      <sz val="11"/>
      <color theme="1"/>
      <name val="宋体"/>
      <family val="3"/>
      <charset val="134"/>
      <scheme val="minor"/>
    </font>
    <font>
      <sz val="11"/>
      <color theme="1"/>
      <name val="宋体"/>
      <charset val="134"/>
      <scheme val="minor"/>
    </font>
    <font>
      <sz val="11"/>
      <color rgb="FFFF0000"/>
      <name val="宋体"/>
      <family val="3"/>
      <charset val="134"/>
    </font>
    <font>
      <sz val="11"/>
      <color rgb="FFFF0000"/>
      <name val="Tahoma"/>
      <family val="2"/>
      <charset val="134"/>
    </font>
    <font>
      <sz val="11"/>
      <color rgb="FF7030A0"/>
      <name val="宋体"/>
      <family val="3"/>
      <charset val="134"/>
    </font>
    <font>
      <sz val="11"/>
      <color rgb="FF7030A0"/>
      <name val="Tahoma"/>
      <family val="2"/>
      <charset val="134"/>
    </font>
    <font>
      <sz val="11"/>
      <color rgb="FF00B050"/>
      <name val="Tahoma"/>
      <family val="2"/>
      <charset val="134"/>
    </font>
    <font>
      <sz val="11"/>
      <color theme="9" tint="-0.499984740745262"/>
      <name val="Tahoma"/>
      <family val="2"/>
      <charset val="134"/>
    </font>
    <font>
      <sz val="11"/>
      <color rgb="FF00B050"/>
      <name val="宋体"/>
      <family val="3"/>
      <charset val="134"/>
    </font>
    <font>
      <sz val="11"/>
      <color theme="9" tint="-0.499984740745262"/>
      <name val="宋体"/>
      <family val="3"/>
      <charset val="134"/>
    </font>
    <font>
      <sz val="11"/>
      <color theme="5"/>
      <name val="Tahoma"/>
      <family val="2"/>
      <charset val="134"/>
    </font>
    <font>
      <sz val="11"/>
      <color theme="6"/>
      <name val="宋体"/>
      <family val="3"/>
      <charset val="134"/>
    </font>
    <font>
      <sz val="11"/>
      <color rgb="FF0070C0"/>
      <name val="Tahoma"/>
      <family val="2"/>
      <charset val="134"/>
    </font>
    <font>
      <sz val="11"/>
      <color rgb="FF007635"/>
      <name val="Tahoma"/>
      <family val="2"/>
      <charset val="134"/>
    </font>
    <font>
      <sz val="11"/>
      <color rgb="FF007635"/>
      <name val="宋体"/>
      <family val="3"/>
      <charset val="134"/>
    </font>
    <font>
      <sz val="11"/>
      <color rgb="FF0070C0"/>
      <name val="宋体"/>
      <family val="3"/>
      <charset val="134"/>
    </font>
    <font>
      <sz val="11"/>
      <name val="Tahoma"/>
      <family val="2"/>
      <charset val="134"/>
    </font>
    <font>
      <sz val="11"/>
      <name val="宋体"/>
      <family val="3"/>
      <charset val="134"/>
    </font>
    <font>
      <sz val="11"/>
      <name val="Tahoma"/>
      <family val="2"/>
    </font>
    <font>
      <sz val="11"/>
      <color rgb="FF00B050"/>
      <name val="宋体"/>
      <family val="2"/>
      <charset val="134"/>
    </font>
    <font>
      <sz val="11"/>
      <color rgb="FFFFC000"/>
      <name val="Tahoma"/>
      <family val="2"/>
      <charset val="134"/>
    </font>
  </fonts>
  <fills count="2">
    <fill>
      <patternFill patternType="none"/>
    </fill>
    <fill>
      <patternFill patternType="gray125"/>
    </fill>
  </fills>
  <borders count="1">
    <border>
      <left/>
      <right/>
      <top/>
      <bottom/>
      <diagonal/>
    </border>
  </borders>
  <cellStyleXfs count="3">
    <xf numFmtId="0" fontId="0" fillId="0" borderId="0"/>
    <xf numFmtId="0" fontId="3" fillId="0" borderId="0">
      <alignment vertical="center"/>
    </xf>
    <xf numFmtId="0" fontId="4" fillId="0" borderId="0">
      <alignment vertical="center"/>
    </xf>
  </cellStyleXfs>
  <cellXfs count="38">
    <xf numFmtId="0" fontId="0" fillId="0" borderId="0" xfId="0"/>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xf numFmtId="0" fontId="11" fillId="0" borderId="0" xfId="0" applyFont="1"/>
    <xf numFmtId="0" fontId="12" fillId="0" borderId="0" xfId="0" applyFont="1"/>
    <xf numFmtId="0" fontId="10" fillId="0" borderId="0" xfId="0" applyFont="1" applyAlignment="1">
      <alignment horizontal="center"/>
    </xf>
    <xf numFmtId="0" fontId="12" fillId="0" borderId="0" xfId="0" applyFont="1" applyAlignment="1">
      <alignment horizontal="center"/>
    </xf>
    <xf numFmtId="0" fontId="13" fillId="0" borderId="0" xfId="0" applyFont="1"/>
    <xf numFmtId="0" fontId="5" fillId="0" borderId="0" xfId="0" applyFont="1" applyAlignment="1">
      <alignment horizontal="center"/>
    </xf>
    <xf numFmtId="0" fontId="14" fillId="0" borderId="0" xfId="0" applyFont="1"/>
    <xf numFmtId="0" fontId="15" fillId="0" borderId="0" xfId="0" applyFont="1"/>
    <xf numFmtId="0" fontId="16" fillId="0" borderId="0" xfId="0" applyFont="1"/>
    <xf numFmtId="0" fontId="19" fillId="0" borderId="0" xfId="0" applyFont="1"/>
    <xf numFmtId="0" fontId="2" fillId="0" borderId="0" xfId="0" applyFont="1" applyAlignment="1">
      <alignment horizontal="left"/>
    </xf>
    <xf numFmtId="0" fontId="2" fillId="0" borderId="0" xfId="0" applyFont="1"/>
    <xf numFmtId="0" fontId="2" fillId="0" borderId="0" xfId="0" applyFont="1" applyAlignment="1">
      <alignment vertical="top" wrapText="1"/>
    </xf>
    <xf numFmtId="0" fontId="20" fillId="0" borderId="0" xfId="0" applyFont="1" applyAlignment="1">
      <alignment horizontal="center"/>
    </xf>
    <xf numFmtId="0" fontId="0" fillId="0" borderId="0" xfId="0" applyAlignment="1">
      <alignment horizontal="center"/>
    </xf>
    <xf numFmtId="0" fontId="2" fillId="0" borderId="0" xfId="0" applyFont="1" applyAlignment="1">
      <alignment horizontal="center"/>
    </xf>
    <xf numFmtId="0" fontId="21" fillId="0" borderId="0" xfId="0" applyFont="1"/>
    <xf numFmtId="0" fontId="9" fillId="0" borderId="0" xfId="0" applyFont="1" applyAlignment="1">
      <alignment horizontal="center"/>
    </xf>
    <xf numFmtId="0" fontId="22" fillId="0" borderId="0" xfId="0" applyFont="1" applyAlignment="1">
      <alignment horizontal="center"/>
    </xf>
    <xf numFmtId="0" fontId="23" fillId="0" borderId="0" xfId="0" applyFont="1" applyAlignment="1">
      <alignment horizontal="center" vertical="center"/>
    </xf>
    <xf numFmtId="0" fontId="23" fillId="0" borderId="0" xfId="0" applyFont="1"/>
    <xf numFmtId="0" fontId="18" fillId="0" borderId="0" xfId="0" applyFont="1" applyAlignment="1">
      <alignment horizontal="center"/>
    </xf>
    <xf numFmtId="0" fontId="15" fillId="0" borderId="0" xfId="0" applyFont="1" applyAlignment="1">
      <alignment horizontal="center"/>
    </xf>
    <xf numFmtId="0" fontId="2" fillId="0" borderId="0" xfId="0" applyFont="1" applyAlignment="1">
      <alignment horizontal="center" vertical="top" wrapText="1"/>
    </xf>
    <xf numFmtId="0" fontId="0" fillId="0" borderId="0" xfId="0" applyAlignment="1">
      <alignment horizontal="center" vertical="top" wrapText="1"/>
    </xf>
    <xf numFmtId="0" fontId="0" fillId="0" borderId="0" xfId="0"/>
    <xf numFmtId="0" fontId="0" fillId="0" borderId="0" xfId="0" applyAlignment="1">
      <alignment horizontal="center"/>
    </xf>
    <xf numFmtId="0" fontId="2" fillId="0" borderId="0" xfId="0" applyFont="1" applyAlignment="1">
      <alignment horizontal="center"/>
    </xf>
    <xf numFmtId="0" fontId="5" fillId="0" borderId="0" xfId="0" applyFont="1" applyAlignment="1">
      <alignment horizontal="center"/>
    </xf>
    <xf numFmtId="0" fontId="11" fillId="0" borderId="0" xfId="0" applyFont="1" applyAlignment="1">
      <alignment horizontal="center"/>
    </xf>
    <xf numFmtId="0" fontId="9" fillId="0" borderId="0" xfId="0" applyFont="1" applyAlignment="1">
      <alignment horizontal="center"/>
    </xf>
    <xf numFmtId="0" fontId="7" fillId="0" borderId="0" xfId="0" applyFont="1" applyAlignment="1">
      <alignment horizontal="center" vertical="center" wrapText="1"/>
    </xf>
  </cellXfs>
  <cellStyles count="3">
    <cellStyle name="常规" xfId="0" builtinId="0"/>
    <cellStyle name="常规 2" xfId="1" xr:uid="{00000000-0005-0000-0000-000001000000}"/>
    <cellStyle name="常规 3" xfId="2" xr:uid="{00000000-0005-0000-0000-000002000000}"/>
  </cellStyles>
  <dxfs count="0"/>
  <tableStyles count="0" defaultTableStyle="TableStyleMedium9" defaultPivotStyle="PivotStyleLight16"/>
  <colors>
    <mruColors>
      <color rgb="FF0076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2198847222222224"/>
          <c:y val="6.4067361111112123E-2"/>
          <c:w val="0.74858792650919903"/>
          <c:h val="0.67995734908136451"/>
        </c:manualLayout>
      </c:layout>
      <c:scatterChart>
        <c:scatterStyle val="smoothMarker"/>
        <c:varyColors val="0"/>
        <c:ser>
          <c:idx val="0"/>
          <c:order val="0"/>
          <c:tx>
            <c:strRef>
              <c:f>'不可更改v0的kv算法 (2)'!$H$1</c:f>
              <c:strCache>
                <c:ptCount val="1"/>
                <c:pt idx="0">
                  <c:v>y</c:v>
                </c:pt>
              </c:strCache>
            </c:strRef>
          </c:tx>
          <c:marker>
            <c:symbol val="none"/>
          </c:marker>
          <c:xVal>
            <c:numRef>
              <c:f>'不可更改v0的kv算法 (2)'!$G$2:$G$53</c:f>
              <c:numCache>
                <c:formatCode>General</c:formatCode>
                <c:ptCount val="52"/>
                <c:pt idx="0">
                  <c:v>1.1402474233200206</c:v>
                </c:pt>
                <c:pt idx="1">
                  <c:v>2.2445845580043073</c:v>
                </c:pt>
                <c:pt idx="2">
                  <c:v>3.3141423417805167</c:v>
                </c:pt>
                <c:pt idx="3">
                  <c:v>4.3500160952818199</c:v>
                </c:pt>
                <c:pt idx="4">
                  <c:v>5.3532666437509127</c:v>
                </c:pt>
                <c:pt idx="5">
                  <c:v>6.3249214034177959</c:v>
                </c:pt>
                <c:pt idx="6">
                  <c:v>7.2659754336637485</c:v>
                </c:pt>
                <c:pt idx="7">
                  <c:v>8.1773924560491142</c:v>
                </c:pt>
                <c:pt idx="8">
                  <c:v>9.060105841248367</c:v>
                </c:pt>
                <c:pt idx="9">
                  <c:v>9.9150195649032469</c:v>
                </c:pt>
                <c:pt idx="10">
                  <c:v>10.743009133372839</c:v>
                </c:pt>
                <c:pt idx="11">
                  <c:v>11.544922480328552</c:v>
                </c:pt>
                <c:pt idx="12">
                  <c:v>12.32158083511232</c:v>
                </c:pt>
                <c:pt idx="13">
                  <c:v>13.073779563747198</c:v>
                </c:pt>
                <c:pt idx="14">
                  <c:v>13.802288983461683</c:v>
                </c:pt>
                <c:pt idx="15">
                  <c:v>14.507855151561859</c:v>
                </c:pt>
                <c:pt idx="16">
                  <c:v>15.191200629459276</c:v>
                </c:pt>
                <c:pt idx="17">
                  <c:v>15.85302522263698</c:v>
                </c:pt>
                <c:pt idx="18">
                  <c:v>16.494006697311473</c:v>
                </c:pt>
                <c:pt idx="19">
                  <c:v>17.114801474524548</c:v>
                </c:pt>
                <c:pt idx="20">
                  <c:v>17.7160453023758</c:v>
                </c:pt>
                <c:pt idx="21">
                  <c:v>18.298353907084234</c:v>
                </c:pt>
                <c:pt idx="22">
                  <c:v>18.862323623545702</c:v>
                </c:pt>
                <c:pt idx="23">
                  <c:v>19.408532006031979</c:v>
                </c:pt>
                <c:pt idx="24">
                  <c:v>19.937538419656764</c:v>
                </c:pt>
                <c:pt idx="25">
                  <c:v>20.449884613214479</c:v>
                </c:pt>
                <c:pt idx="26">
                  <c:v>20.946095273978347</c:v>
                </c:pt>
                <c:pt idx="27">
                  <c:v>21.426678565026023</c:v>
                </c:pt>
                <c:pt idx="28">
                  <c:v>21.892126645642982</c:v>
                </c:pt>
                <c:pt idx="29">
                  <c:v>22.342916175336637</c:v>
                </c:pt>
                <c:pt idx="30">
                  <c:v>22.779508801977325</c:v>
                </c:pt>
                <c:pt idx="31">
                  <c:v>23.202351634566075</c:v>
                </c:pt>
                <c:pt idx="32">
                  <c:v>23.611877701113297</c:v>
                </c:pt>
                <c:pt idx="33">
                  <c:v>24.008506392097278</c:v>
                </c:pt>
                <c:pt idx="34">
                  <c:v>24.392643889956723</c:v>
                </c:pt>
                <c:pt idx="35">
                  <c:v>24.764683585057035</c:v>
                </c:pt>
                <c:pt idx="36">
                  <c:v>25.125006478556415</c:v>
                </c:pt>
                <c:pt idx="37">
                  <c:v>25.473981572584393</c:v>
                </c:pt>
                <c:pt idx="38">
                  <c:v>25.81196624813219</c:v>
                </c:pt>
                <c:pt idx="39">
                  <c:v>26.139306631042135</c:v>
                </c:pt>
                <c:pt idx="40">
                  <c:v>26.456337946470747</c:v>
                </c:pt>
                <c:pt idx="41">
                  <c:v>26.763384862188584</c:v>
                </c:pt>
                <c:pt idx="42">
                  <c:v>27.060761821068425</c:v>
                </c:pt>
                <c:pt idx="43">
                  <c:v>27.348773363102239</c:v>
                </c:pt>
                <c:pt idx="44">
                  <c:v>27.627714437276772</c:v>
                </c:pt>
                <c:pt idx="45">
                  <c:v>27.897870703627053</c:v>
                </c:pt>
                <c:pt idx="46">
                  <c:v>28.159518825777234</c:v>
                </c:pt>
                <c:pt idx="47">
                  <c:v>28.412926754268351</c:v>
                </c:pt>
                <c:pt idx="48">
                  <c:v>28.658354000963048</c:v>
                </c:pt>
                <c:pt idx="49">
                  <c:v>28.896051904808445</c:v>
                </c:pt>
                <c:pt idx="50">
                  <c:v>29.126263889229129</c:v>
                </c:pt>
                <c:pt idx="51">
                  <c:v>29.349225711414089</c:v>
                </c:pt>
              </c:numCache>
            </c:numRef>
          </c:xVal>
          <c:yVal>
            <c:numRef>
              <c:f>'不可更改v0的kv算法 (2)'!$H$2:$H$53</c:f>
              <c:numCache>
                <c:formatCode>General</c:formatCode>
                <c:ptCount val="52"/>
                <c:pt idx="0">
                  <c:v>3.0167947731905738</c:v>
                </c:pt>
                <c:pt idx="1">
                  <c:v>5.7077926646069024</c:v>
                </c:pt>
                <c:pt idx="2">
                  <c:v>8.0832541316039439</c:v>
                </c:pt>
                <c:pt idx="3">
                  <c:v>10.153116494665248</c:v>
                </c:pt>
                <c:pt idx="4">
                  <c:v>11.927004114087204</c:v>
                </c:pt>
                <c:pt idx="5">
                  <c:v>13.414238246165333</c:v>
                </c:pt>
                <c:pt idx="6">
                  <c:v>14.623846588974885</c:v>
                </c:pt>
                <c:pt idx="7">
                  <c:v>15.564572527523026</c:v>
                </c:pt>
                <c:pt idx="8">
                  <c:v>16.244884087738669</c:v>
                </c:pt>
                <c:pt idx="9">
                  <c:v>16.672982608471159</c:v>
                </c:pt>
                <c:pt idx="10">
                  <c:v>16.856811140378085</c:v>
                </c:pt>
                <c:pt idx="11">
                  <c:v>16.804062580303025</c:v>
                </c:pt>
                <c:pt idx="12">
                  <c:v>16.522187549474225</c:v>
                </c:pt>
                <c:pt idx="13">
                  <c:v>16.018402023591904</c:v>
                </c:pt>
                <c:pt idx="14">
                  <c:v>15.299694722617758</c:v>
                </c:pt>
                <c:pt idx="15">
                  <c:v>14.37283426783506</c:v>
                </c:pt>
                <c:pt idx="16">
                  <c:v>13.244376113508139</c:v>
                </c:pt>
                <c:pt idx="17">
                  <c:v>11.920669260240771</c:v>
                </c:pt>
                <c:pt idx="18">
                  <c:v>10.407862756907093</c:v>
                </c:pt>
                <c:pt idx="19">
                  <c:v>8.7119119978152924</c:v>
                </c:pt>
                <c:pt idx="20">
                  <c:v>6.8385848215518195</c:v>
                </c:pt>
                <c:pt idx="21">
                  <c:v>4.7934674177519696</c:v>
                </c:pt>
                <c:pt idx="22">
                  <c:v>2.5819700478461129</c:v>
                </c:pt>
                <c:pt idx="23">
                  <c:v>0.20933258564068069</c:v>
                </c:pt>
                <c:pt idx="24">
                  <c:v>-2.3193701165938876</c:v>
                </c:pt>
                <c:pt idx="25">
                  <c:v>-4.9992230310303967</c:v>
                </c:pt>
                <c:pt idx="26">
                  <c:v>-7.825465920867174</c:v>
                </c:pt>
                <c:pt idx="27">
                  <c:v>-10.793488465429505</c:v>
                </c:pt>
                <c:pt idx="28">
                  <c:v>-13.898825538798462</c:v>
                </c:pt>
                <c:pt idx="29">
                  <c:v>-17.13715263713172</c:v>
                </c:pt>
                <c:pt idx="30">
                  <c:v>-20.504281449993726</c:v>
                </c:pt>
                <c:pt idx="31">
                  <c:v>-23.996155571160017</c:v>
                </c:pt>
                <c:pt idx="32">
                  <c:v>-27.608846344502467</c:v>
                </c:pt>
                <c:pt idx="33">
                  <c:v>-31.338548840702344</c:v>
                </c:pt>
                <c:pt idx="34">
                  <c:v>-35.181577960669927</c:v>
                </c:pt>
                <c:pt idx="35">
                  <c:v>-39.134364661681531</c:v>
                </c:pt>
                <c:pt idx="36">
                  <c:v>-43.193452302367206</c:v>
                </c:pt>
                <c:pt idx="37">
                  <c:v>-47.355493102808481</c:v>
                </c:pt>
                <c:pt idx="38">
                  <c:v>-51.617244716118961</c:v>
                </c:pt>
                <c:pt idx="39">
                  <c:v>-55.975566907997631</c:v>
                </c:pt>
                <c:pt idx="40">
                  <c:v>-60.427418340854871</c:v>
                </c:pt>
                <c:pt idx="41">
                  <c:v>-64.969853459216665</c:v>
                </c:pt>
                <c:pt idx="42">
                  <c:v>-69.600019473218623</c:v>
                </c:pt>
                <c:pt idx="43">
                  <c:v>-74.315153437099838</c:v>
                </c:pt>
                <c:pt idx="44">
                  <c:v>-79.1125794197049</c:v>
                </c:pt>
                <c:pt idx="45">
                  <c:v>-83.989705764096442</c:v>
                </c:pt>
                <c:pt idx="46">
                  <c:v>-88.944022433472441</c:v>
                </c:pt>
                <c:pt idx="47">
                  <c:v>-93.97309844066865</c:v>
                </c:pt>
                <c:pt idx="48">
                  <c:v>-99.074579358615665</c:v>
                </c:pt>
                <c:pt idx="49">
                  <c:v>-104.2461849091996</c:v>
                </c:pt>
                <c:pt idx="50">
                  <c:v>-109.48570662805838</c:v>
                </c:pt>
                <c:pt idx="51">
                  <c:v>-114.79100560292085</c:v>
                </c:pt>
              </c:numCache>
            </c:numRef>
          </c:yVal>
          <c:smooth val="1"/>
          <c:extLst>
            <c:ext xmlns:c16="http://schemas.microsoft.com/office/drawing/2014/chart" uri="{C3380CC4-5D6E-409C-BE32-E72D297353CC}">
              <c16:uniqueId val="{00000000-C771-452A-98C2-4B1C83545160}"/>
            </c:ext>
          </c:extLst>
        </c:ser>
        <c:dLbls>
          <c:showLegendKey val="0"/>
          <c:showVal val="0"/>
          <c:showCatName val="0"/>
          <c:showSerName val="0"/>
          <c:showPercent val="0"/>
          <c:showBubbleSize val="0"/>
        </c:dLbls>
        <c:axId val="84554112"/>
        <c:axId val="84555648"/>
      </c:scatterChart>
      <c:valAx>
        <c:axId val="84554112"/>
        <c:scaling>
          <c:orientation val="minMax"/>
          <c:max val="20"/>
          <c:min val="0"/>
        </c:scaling>
        <c:delete val="0"/>
        <c:axPos val="b"/>
        <c:numFmt formatCode="General" sourceLinked="1"/>
        <c:majorTickMark val="out"/>
        <c:minorTickMark val="none"/>
        <c:tickLblPos val="nextTo"/>
        <c:crossAx val="84555648"/>
        <c:crosses val="autoZero"/>
        <c:crossBetween val="midCat"/>
        <c:majorUnit val="1"/>
      </c:valAx>
      <c:valAx>
        <c:axId val="84555648"/>
        <c:scaling>
          <c:orientation val="minMax"/>
          <c:max val="20"/>
          <c:min val="0"/>
        </c:scaling>
        <c:delete val="0"/>
        <c:axPos val="l"/>
        <c:majorGridlines/>
        <c:numFmt formatCode="General" sourceLinked="1"/>
        <c:majorTickMark val="out"/>
        <c:minorTickMark val="none"/>
        <c:tickLblPos val="nextTo"/>
        <c:crossAx val="84554112"/>
        <c:crosses val="autoZero"/>
        <c:crossBetween val="midCat"/>
        <c:majorUnit val="1"/>
      </c:valAx>
      <c:spPr>
        <a:scene3d>
          <a:camera prst="orthographicFront"/>
          <a:lightRig rig="threePt" dir="t"/>
        </a:scene3d>
        <a:sp3d>
          <a:bevelB w="0" h="0"/>
        </a:sp3d>
      </c:spPr>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2198847222222224"/>
          <c:y val="6.4067361111112123E-2"/>
          <c:w val="0.74858792650919959"/>
          <c:h val="0.67995734908136451"/>
        </c:manualLayout>
      </c:layout>
      <c:scatterChart>
        <c:scatterStyle val="smoothMarker"/>
        <c:varyColors val="0"/>
        <c:ser>
          <c:idx val="0"/>
          <c:order val="0"/>
          <c:tx>
            <c:strRef>
              <c:f>'不可更改v0的kv算法 (3)'!$H$1</c:f>
              <c:strCache>
                <c:ptCount val="1"/>
                <c:pt idx="0">
                  <c:v>y</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'不可更改v0的kv算法 (3)'!$G$2:$G$53</c:f>
              <c:numCache>
                <c:formatCode>General</c:formatCode>
                <c:ptCount val="52"/>
                <c:pt idx="0">
                  <c:v>0.3206648160697535</c:v>
                </c:pt>
                <c:pt idx="1">
                  <c:v>0.34060790410712688</c:v>
                </c:pt>
                <c:pt idx="2">
                  <c:v>0.36049125253460779</c:v>
                </c:pt>
                <c:pt idx="3">
                  <c:v>0.38031504030246599</c:v>
                </c:pt>
                <c:pt idx="4">
                  <c:v>0.40007944582492538</c:v>
                </c:pt>
                <c:pt idx="5">
                  <c:v>0.41978464698176865</c:v>
                </c:pt>
                <c:pt idx="6">
                  <c:v>0.43943082111994064</c:v>
                </c:pt>
                <c:pt idx="7">
                  <c:v>0.45901814505513966</c:v>
                </c:pt>
                <c:pt idx="8">
                  <c:v>0.4785467950734138</c:v>
                </c:pt>
                <c:pt idx="9">
                  <c:v>0.4980169469327454</c:v>
                </c:pt>
                <c:pt idx="10">
                  <c:v>0.5174287758646321</c:v>
                </c:pt>
                <c:pt idx="11">
                  <c:v>0.53678245657566537</c:v>
                </c:pt>
                <c:pt idx="12">
                  <c:v>0.55607816324910297</c:v>
                </c:pt>
                <c:pt idx="13">
                  <c:v>0.57531606954643499</c:v>
                </c:pt>
                <c:pt idx="14">
                  <c:v>0.59449634860894718</c:v>
                </c:pt>
                <c:pt idx="15">
                  <c:v>0.61361917305928082</c:v>
                </c:pt>
                <c:pt idx="16">
                  <c:v>0.63268471500298518</c:v>
                </c:pt>
                <c:pt idx="17">
                  <c:v>0.65169314603006701</c:v>
                </c:pt>
                <c:pt idx="18">
                  <c:v>0.67064463721653345</c:v>
                </c:pt>
                <c:pt idx="19">
                  <c:v>0.68953935912593278</c:v>
                </c:pt>
                <c:pt idx="20">
                  <c:v>0.70837748181089022</c:v>
                </c:pt>
                <c:pt idx="21">
                  <c:v>0.72715917481463666</c:v>
                </c:pt>
                <c:pt idx="22">
                  <c:v>0.74588460717253602</c:v>
                </c:pt>
                <c:pt idx="23">
                  <c:v>0.76455394741360627</c:v>
                </c:pt>
                <c:pt idx="24">
                  <c:v>0.78316736356203531</c:v>
                </c:pt>
                <c:pt idx="25">
                  <c:v>0.80172502313869387</c:v>
                </c:pt>
                <c:pt idx="26">
                  <c:v>0.82022709316264386</c:v>
                </c:pt>
                <c:pt idx="27">
                  <c:v>0.83867374015264029</c:v>
                </c:pt>
                <c:pt idx="28">
                  <c:v>0.8570651301286305</c:v>
                </c:pt>
                <c:pt idx="29">
                  <c:v>0.8754014286132481</c:v>
                </c:pt>
                <c:pt idx="30">
                  <c:v>0.89368280063330374</c:v>
                </c:pt>
                <c:pt idx="31">
                  <c:v>0.91190941072126841</c:v>
                </c:pt>
                <c:pt idx="32">
                  <c:v>0.93008142291675688</c:v>
                </c:pt>
                <c:pt idx="33">
                  <c:v>0.94819900076800123</c:v>
                </c:pt>
                <c:pt idx="34">
                  <c:v>0.96626230733332341</c:v>
                </c:pt>
                <c:pt idx="35">
                  <c:v>0.98427150518260564</c:v>
                </c:pt>
                <c:pt idx="36">
                  <c:v>1.0022267563987495</c:v>
                </c:pt>
                <c:pt idx="37">
                  <c:v>1.0201282225791377</c:v>
                </c:pt>
                <c:pt idx="38">
                  <c:v>1.0379760648370859</c:v>
                </c:pt>
                <c:pt idx="39">
                  <c:v>1.0557704438032958</c:v>
                </c:pt>
                <c:pt idx="40">
                  <c:v>1.0735115196272971</c:v>
                </c:pt>
                <c:pt idx="41">
                  <c:v>1.091199451978893</c:v>
                </c:pt>
                <c:pt idx="42">
                  <c:v>1.1088344000495938</c:v>
                </c:pt>
                <c:pt idx="43">
                  <c:v>1.1264165225540512</c:v>
                </c:pt>
                <c:pt idx="44">
                  <c:v>1.1439459777314855</c:v>
                </c:pt>
                <c:pt idx="45">
                  <c:v>1.1614229233471127</c:v>
                </c:pt>
                <c:pt idx="46">
                  <c:v>1.1788475166935612</c:v>
                </c:pt>
                <c:pt idx="47">
                  <c:v>1.1962199145922885</c:v>
                </c:pt>
                <c:pt idx="48">
                  <c:v>1.2135402733949927</c:v>
                </c:pt>
                <c:pt idx="49">
                  <c:v>1.2308087489850201</c:v>
                </c:pt>
                <c:pt idx="50">
                  <c:v>1.2480254967787681</c:v>
                </c:pt>
                <c:pt idx="51">
                  <c:v>1.2651906717270824</c:v>
                </c:pt>
              </c:numCache>
            </c:numRef>
          </c:xVal>
          <c:yVal>
            <c:numRef>
              <c:f>'不可更改v0的kv算法 (3)'!$H$2:$H$53</c:f>
              <c:numCache>
                <c:formatCode>General</c:formatCode>
                <c:ptCount val="52"/>
                <c:pt idx="0">
                  <c:v>0.2220556526625419</c:v>
                </c:pt>
                <c:pt idx="1">
                  <c:v>0.24346590313010597</c:v>
                </c:pt>
                <c:pt idx="2">
                  <c:v>0.26323937923539409</c:v>
                </c:pt>
                <c:pt idx="3">
                  <c:v>0.28138098394336153</c:v>
                </c:pt>
                <c:pt idx="4">
                  <c:v>0.2978956055321188</c:v>
                </c:pt>
                <c:pt idx="5">
                  <c:v>0.31278811763690773</c:v>
                </c:pt>
                <c:pt idx="6">
                  <c:v>0.32606337929401674</c:v>
                </c:pt>
                <c:pt idx="7">
                  <c:v>0.33772623498439336</c:v>
                </c:pt>
                <c:pt idx="8">
                  <c:v>0.3477815146773745</c:v>
                </c:pt>
                <c:pt idx="9">
                  <c:v>0.35623403387409847</c:v>
                </c:pt>
                <c:pt idx="10">
                  <c:v>0.36308859365082358</c:v>
                </c:pt>
                <c:pt idx="11">
                  <c:v>0.3683499807021825</c:v>
                </c:pt>
                <c:pt idx="12">
                  <c:v>0.37202296738425622</c:v>
                </c:pt>
                <c:pt idx="13">
                  <c:v>0.37411231175748283</c:v>
                </c:pt>
                <c:pt idx="14">
                  <c:v>0.37462275762950681</c:v>
                </c:pt>
                <c:pt idx="15">
                  <c:v>0.37355903459788442</c:v>
                </c:pt>
                <c:pt idx="16">
                  <c:v>0.37092585809265499</c:v>
                </c:pt>
                <c:pt idx="17">
                  <c:v>0.36672792941877452</c:v>
                </c:pt>
                <c:pt idx="18">
                  <c:v>0.3609699357983841</c:v>
                </c:pt>
                <c:pt idx="19">
                  <c:v>0.353656550413041</c:v>
                </c:pt>
                <c:pt idx="20">
                  <c:v>0.34479243244577928</c:v>
                </c:pt>
                <c:pt idx="21">
                  <c:v>0.33438222712301047</c:v>
                </c:pt>
                <c:pt idx="22">
                  <c:v>0.32243056575637452</c:v>
                </c:pt>
                <c:pt idx="23">
                  <c:v>0.30894206578437233</c:v>
                </c:pt>
                <c:pt idx="24">
                  <c:v>0.29392133081396976</c:v>
                </c:pt>
                <c:pt idx="25">
                  <c:v>0.27737295066196721</c:v>
                </c:pt>
                <c:pt idx="26">
                  <c:v>0.25930150139640296</c:v>
                </c:pt>
                <c:pt idx="27">
                  <c:v>0.23971154537764383</c:v>
                </c:pt>
                <c:pt idx="28">
                  <c:v>0.21860763129950433</c:v>
                </c:pt>
                <c:pt idx="29">
                  <c:v>0.19599429423013659</c:v>
                </c:pt>
                <c:pt idx="30">
                  <c:v>0.17187605565292208</c:v>
                </c:pt>
                <c:pt idx="31">
                  <c:v>0.14625742350708271</c:v>
                </c:pt>
                <c:pt idx="32">
                  <c:v>0.11914289222832031</c:v>
                </c:pt>
                <c:pt idx="33">
                  <c:v>9.0536942789194996E-2</c:v>
                </c:pt>
                <c:pt idx="34">
                  <c:v>6.0444042739503545E-2</c:v>
                </c:pt>
                <c:pt idx="35">
                  <c:v>2.8868646246503205E-2</c:v>
                </c:pt>
                <c:pt idx="36">
                  <c:v>-4.1848058650527653E-3</c:v>
                </c:pt>
                <c:pt idx="37">
                  <c:v>-3.8711886072893775E-2</c:v>
                </c:pt>
                <c:pt idx="38">
                  <c:v>-7.4708180117455725E-2</c:v>
                </c:pt>
                <c:pt idx="39">
                  <c:v>-0.11216928696207284</c:v>
                </c:pt>
                <c:pt idx="40">
                  <c:v>-0.15109081875342534</c:v>
                </c:pt>
                <c:pt idx="41">
                  <c:v>-0.19146840078200833</c:v>
                </c:pt>
                <c:pt idx="42">
                  <c:v>-0.23329767144277846</c:v>
                </c:pt>
                <c:pt idx="43">
                  <c:v>-0.27657428219592484</c:v>
                </c:pt>
                <c:pt idx="44">
                  <c:v>-0.32129389752770388</c:v>
                </c:pt>
                <c:pt idx="45">
                  <c:v>-0.36745219491139502</c:v>
                </c:pt>
                <c:pt idx="46">
                  <c:v>-0.4150448647684305</c:v>
                </c:pt>
                <c:pt idx="47">
                  <c:v>-0.46406761042964584</c:v>
                </c:pt>
                <c:pt idx="48">
                  <c:v>-0.51451614809652335</c:v>
                </c:pt>
                <c:pt idx="49">
                  <c:v>-0.56638620680270557</c:v>
                </c:pt>
                <c:pt idx="50">
                  <c:v>-0.61967352837551937</c:v>
                </c:pt>
                <c:pt idx="51">
                  <c:v>-0.67437386739767058</c:v>
                </c:pt>
              </c:numCache>
            </c:numRef>
          </c:yVal>
          <c:smooth val="1"/>
          <c:extLst>
            <c:ext xmlns:c16="http://schemas.microsoft.com/office/drawing/2014/chart" uri="{C3380CC4-5D6E-409C-BE32-E72D297353CC}">
              <c16:uniqueId val="{00000000-2642-4BE6-8B0A-D59999000341}"/>
            </c:ext>
          </c:extLst>
        </c:ser>
        <c:dLbls>
          <c:showLegendKey val="0"/>
          <c:showVal val="0"/>
          <c:showCatName val="0"/>
          <c:showSerName val="0"/>
          <c:showPercent val="0"/>
          <c:showBubbleSize val="0"/>
        </c:dLbls>
        <c:axId val="84592896"/>
        <c:axId val="84680704"/>
      </c:scatterChart>
      <c:valAx>
        <c:axId val="84592896"/>
        <c:scaling>
          <c:orientation val="minMax"/>
          <c:max val="2"/>
          <c:min val="0"/>
        </c:scaling>
        <c:delete val="0"/>
        <c:axPos val="b"/>
        <c:numFmt formatCode="General" sourceLinked="1"/>
        <c:majorTickMark val="out"/>
        <c:minorTickMark val="none"/>
        <c:tickLblPos val="nextTo"/>
        <c:crossAx val="84680704"/>
        <c:crosses val="autoZero"/>
        <c:crossBetween val="midCat"/>
        <c:majorUnit val="1"/>
      </c:valAx>
      <c:valAx>
        <c:axId val="84680704"/>
        <c:scaling>
          <c:orientation val="minMax"/>
          <c:max val="1"/>
          <c:min val="0"/>
        </c:scaling>
        <c:delete val="0"/>
        <c:axPos val="l"/>
        <c:majorGridlines/>
        <c:numFmt formatCode="General" sourceLinked="1"/>
        <c:majorTickMark val="out"/>
        <c:minorTickMark val="none"/>
        <c:tickLblPos val="nextTo"/>
        <c:crossAx val="84592896"/>
        <c:crosses val="autoZero"/>
        <c:crossBetween val="midCat"/>
        <c:majorUnit val="1"/>
      </c:valAx>
      <c:spPr>
        <a:scene3d>
          <a:camera prst="orthographicFront"/>
          <a:lightRig rig="threePt" dir="t"/>
        </a:scene3d>
        <a:sp3d>
          <a:bevelB w="0" h="0"/>
        </a:sp3d>
      </c:spPr>
    </c:plotArea>
    <c:legend>
      <c:legendPos val="r"/>
      <c:overlay val="0"/>
    </c:legend>
    <c:plotVisOnly val="1"/>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30</a:t>
            </a:r>
            <a:endParaRPr lang="en-US" altLang="zh-CN"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zh-CN"/>
        </a:p>
      </c:txPr>
    </c:title>
    <c:autoTitleDeleted val="0"/>
    <c:plotArea>
      <c:layout>
        <c:manualLayout>
          <c:layoutTarget val="inner"/>
          <c:xMode val="edge"/>
          <c:yMode val="edge"/>
          <c:x val="3.9673424612237808E-2"/>
          <c:y val="4.274996684345192E-2"/>
          <c:w val="0.94393030658401744"/>
          <c:h val="0.85747454440535353"/>
        </c:manualLayout>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'不可更改v0的kv算法 (3)'!$V$2:$V$21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(3)'!$AA$2:$AA$21</c:f>
              <c:numCache>
                <c:formatCode>General</c:formatCode>
                <c:ptCount val="20"/>
                <c:pt idx="0">
                  <c:v>14</c:v>
                </c:pt>
                <c:pt idx="1">
                  <c:v>20</c:v>
                </c:pt>
                <c:pt idx="2">
                  <c:v>24</c:v>
                </c:pt>
                <c:pt idx="3">
                  <c:v>28</c:v>
                </c:pt>
                <c:pt idx="4">
                  <c:v>32</c:v>
                </c:pt>
                <c:pt idx="5">
                  <c:v>35</c:v>
                </c:pt>
                <c:pt idx="6">
                  <c:v>38</c:v>
                </c:pt>
                <c:pt idx="7">
                  <c:v>41</c:v>
                </c:pt>
                <c:pt idx="8">
                  <c:v>44</c:v>
                </c:pt>
                <c:pt idx="9">
                  <c:v>47</c:v>
                </c:pt>
                <c:pt idx="10">
                  <c:v>50</c:v>
                </c:pt>
                <c:pt idx="11">
                  <c:v>52</c:v>
                </c:pt>
                <c:pt idx="12">
                  <c:v>55</c:v>
                </c:pt>
                <c:pt idx="13">
                  <c:v>57</c:v>
                </c:pt>
                <c:pt idx="14">
                  <c:v>60</c:v>
                </c:pt>
                <c:pt idx="15">
                  <c:v>62</c:v>
                </c:pt>
                <c:pt idx="16">
                  <c:v>65</c:v>
                </c:pt>
                <c:pt idx="17">
                  <c:v>67</c:v>
                </c:pt>
                <c:pt idx="18">
                  <c:v>69</c:v>
                </c:pt>
                <c:pt idx="19">
                  <c:v>72</c:v>
                </c:pt>
              </c:numCache>
            </c:numRef>
          </c:yVal>
          <c:smooth val="1"/>
          <c:extLst>
            <c:ext xmlns:c16="http://schemas.microsoft.com/office/drawing/2014/chart" uri="{C3380CC4-5D6E-409C-BE32-E72D297353CC}">
              <c16:uniqueId val="{00000000-7A78-4D34-A4B7-6E83B1285EE4}"/>
            </c:ext>
          </c:extLst>
        </c:ser>
        <c:ser>
          <c:idx val="1"/>
          <c:order val="1"/>
          <c:tx>
            <c:v>predict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'不可更改v0的kv算法 (3)'!$V$2:$V$21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(3)'!$Z$2:$Z$21</c:f>
              <c:numCache>
                <c:formatCode>General</c:formatCode>
                <c:ptCount val="20"/>
                <c:pt idx="0">
                  <c:v>10.004241808396138</c:v>
                </c:pt>
                <c:pt idx="1">
                  <c:v>17.569724334569287</c:v>
                </c:pt>
                <c:pt idx="2">
                  <c:v>23.069855717301365</c:v>
                </c:pt>
                <c:pt idx="3">
                  <c:v>27.633688217190603</c:v>
                </c:pt>
                <c:pt idx="4">
                  <c:v>31.638155248016812</c:v>
                </c:pt>
                <c:pt idx="5">
                  <c:v>35.261668251613379</c:v>
                </c:pt>
                <c:pt idx="6">
                  <c:v>38.604848081477797</c:v>
                </c:pt>
                <c:pt idx="7">
                  <c:v>41.730883996029775</c:v>
                </c:pt>
                <c:pt idx="8">
                  <c:v>44.6824696928729</c:v>
                </c:pt>
                <c:pt idx="9">
                  <c:v>47.490024759900521</c:v>
                </c:pt>
                <c:pt idx="10">
                  <c:v>50.176116386265683</c:v>
                </c:pt>
                <c:pt idx="11">
                  <c:v>52.758026345179005</c:v>
                </c:pt>
                <c:pt idx="12">
                  <c:v>55.249332365302891</c:v>
                </c:pt>
                <c:pt idx="13">
                  <c:v>57.660929725543937</c:v>
                </c:pt>
                <c:pt idx="14">
                  <c:v>60.001717423087257</c:v>
                </c:pt>
                <c:pt idx="15">
                  <c:v>62.279074273080788</c:v>
                </c:pt>
                <c:pt idx="16">
                  <c:v>64.499198481844218</c:v>
                </c:pt>
                <c:pt idx="17">
                  <c:v>66.667355644861374</c:v>
                </c:pt>
                <c:pt idx="18">
                  <c:v>68.788063626444512</c:v>
                </c:pt>
                <c:pt idx="19">
                  <c:v>70.865232891260334</c:v>
                </c:pt>
              </c:numCache>
            </c:numRef>
          </c:yVal>
          <c:smooth val="1"/>
          <c:extLst>
            <c:ext xmlns:c16="http://schemas.microsoft.com/office/drawing/2014/chart" uri="{C3380CC4-5D6E-409C-BE32-E72D297353CC}">
              <c16:uniqueId val="{00000002-7A78-4D34-A4B7-6E83B1285EE4}"/>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'不可更改v0的kv算法 (3)'!$V$2:$V$21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(3)'!$AC$2:$AC$21</c:f>
              <c:numCache>
                <c:formatCode>General</c:formatCode>
                <c:ptCount val="20"/>
                <c:pt idx="0">
                  <c:v>28.541129940027588</c:v>
                </c:pt>
                <c:pt idx="1">
                  <c:v>12.151378327153566</c:v>
                </c:pt>
                <c:pt idx="2">
                  <c:v>3.8756011779109776</c:v>
                </c:pt>
                <c:pt idx="3">
                  <c:v>1.3082563671764191</c:v>
                </c:pt>
                <c:pt idx="4">
                  <c:v>1.1307648499474632</c:v>
                </c:pt>
                <c:pt idx="5">
                  <c:v>-0.74762357603822649</c:v>
                </c:pt>
                <c:pt idx="6">
                  <c:v>-1.591705477573151</c:v>
                </c:pt>
                <c:pt idx="7">
                  <c:v>-1.7826438927555477</c:v>
                </c:pt>
                <c:pt idx="8">
                  <c:v>-1.5510674838020448</c:v>
                </c:pt>
                <c:pt idx="9">
                  <c:v>-1.0426058721287683</c:v>
                </c:pt>
                <c:pt idx="10">
                  <c:v>-0.35223277253136587</c:v>
                </c:pt>
                <c:pt idx="11">
                  <c:v>-1.4577429714980856</c:v>
                </c:pt>
                <c:pt idx="12">
                  <c:v>-0.45333157327798357</c:v>
                </c:pt>
                <c:pt idx="13">
                  <c:v>-1.1595258342876094</c:v>
                </c:pt>
                <c:pt idx="14">
                  <c:v>-2.8623718120949584E-3</c:v>
                </c:pt>
                <c:pt idx="15">
                  <c:v>-0.45011979529159318</c:v>
                </c:pt>
                <c:pt idx="16">
                  <c:v>0.77046387408581896</c:v>
                </c:pt>
                <c:pt idx="17">
                  <c:v>0.49648411214720334</c:v>
                </c:pt>
                <c:pt idx="18">
                  <c:v>0.30715416457317163</c:v>
                </c:pt>
                <c:pt idx="19">
                  <c:v>1.5760654288050919</c:v>
                </c:pt>
              </c:numCache>
            </c:numRef>
          </c:yVal>
          <c:smooth val="1"/>
          <c:extLst>
            <c:ext xmlns:c16="http://schemas.microsoft.com/office/drawing/2014/chart" uri="{C3380CC4-5D6E-409C-BE32-E72D297353CC}">
              <c16:uniqueId val="{00000000-4911-4EA6-A4C8-D7A8DE3FB6D0}"/>
            </c:ext>
          </c:extLst>
        </c:ser>
        <c:dLbls>
          <c:showLegendKey val="0"/>
          <c:showVal val="0"/>
          <c:showCatName val="0"/>
          <c:showSerName val="0"/>
          <c:showPercent val="0"/>
          <c:showBubbleSize val="0"/>
        </c:dLbls>
        <c:axId val="581758272"/>
        <c:axId val="581760192"/>
      </c:scatterChart>
      <c:valAx>
        <c:axId val="581758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81760192"/>
        <c:crosses val="autoZero"/>
        <c:crossBetween val="midCat"/>
      </c:valAx>
      <c:valAx>
        <c:axId val="581760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817582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65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4.1832684271866739E-2"/>
          <c:y val="0.10129963898916967"/>
          <c:w val="0.94291821825520905"/>
          <c:h val="0.85490188275202061"/>
        </c:manualLayout>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'不可更改v0的kv算法 (3)'!$AF$24:$AF$43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(3)'!$AK$24:$AK$43</c:f>
              <c:numCache>
                <c:formatCode>General</c:formatCode>
                <c:ptCount val="20"/>
                <c:pt idx="0">
                  <c:v>13</c:v>
                </c:pt>
                <c:pt idx="1">
                  <c:v>20</c:v>
                </c:pt>
                <c:pt idx="2">
                  <c:v>26</c:v>
                </c:pt>
                <c:pt idx="3">
                  <c:v>31</c:v>
                </c:pt>
                <c:pt idx="4">
                  <c:v>37</c:v>
                </c:pt>
                <c:pt idx="5">
                  <c:v>41</c:v>
                </c:pt>
                <c:pt idx="6">
                  <c:v>44</c:v>
                </c:pt>
                <c:pt idx="7">
                  <c:v>48</c:v>
                </c:pt>
                <c:pt idx="8">
                  <c:v>53</c:v>
                </c:pt>
                <c:pt idx="9">
                  <c:v>56</c:v>
                </c:pt>
                <c:pt idx="10">
                  <c:v>58</c:v>
                </c:pt>
                <c:pt idx="11">
                  <c:v>61</c:v>
                </c:pt>
                <c:pt idx="12">
                  <c:v>64</c:v>
                </c:pt>
                <c:pt idx="13">
                  <c:v>67</c:v>
                </c:pt>
                <c:pt idx="14">
                  <c:v>70</c:v>
                </c:pt>
                <c:pt idx="15">
                  <c:v>73</c:v>
                </c:pt>
                <c:pt idx="16">
                  <c:v>76</c:v>
                </c:pt>
                <c:pt idx="17">
                  <c:v>79</c:v>
                </c:pt>
                <c:pt idx="18">
                  <c:v>82</c:v>
                </c:pt>
                <c:pt idx="19">
                  <c:v>85</c:v>
                </c:pt>
              </c:numCache>
            </c:numRef>
          </c:yVal>
          <c:smooth val="1"/>
          <c:extLst>
            <c:ext xmlns:c16="http://schemas.microsoft.com/office/drawing/2014/chart" uri="{C3380CC4-5D6E-409C-BE32-E72D297353CC}">
              <c16:uniqueId val="{00000000-3DB8-455A-8FB6-6FF1DB437960}"/>
            </c:ext>
          </c:extLst>
        </c:ser>
        <c:ser>
          <c:idx val="1"/>
          <c:order val="1"/>
          <c:tx>
            <c:v>predict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'不可更改v0的kv算法 (3)'!$AF$24:$AF$43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(3)'!$AJ$24:$AJ$43</c:f>
              <c:numCache>
                <c:formatCode>General</c:formatCode>
                <c:ptCount val="20"/>
                <c:pt idx="0">
                  <c:v>12.447545171654802</c:v>
                </c:pt>
                <c:pt idx="1">
                  <c:v>20.599297586590559</c:v>
                </c:pt>
                <c:pt idx="2">
                  <c:v>26.691263813014892</c:v>
                </c:pt>
                <c:pt idx="3">
                  <c:v>31.865191230301836</c:v>
                </c:pt>
                <c:pt idx="4">
                  <c:v>36.490120738237145</c:v>
                </c:pt>
                <c:pt idx="5">
                  <c:v>40.740683963089538</c:v>
                </c:pt>
                <c:pt idx="6">
                  <c:v>44.715777869927038</c:v>
                </c:pt>
                <c:pt idx="7">
                  <c:v>48.477785928107764</c:v>
                </c:pt>
                <c:pt idx="8">
                  <c:v>52.069022779903804</c:v>
                </c:pt>
                <c:pt idx="9">
                  <c:v>55.519736003755042</c:v>
                </c:pt>
                <c:pt idx="10">
                  <c:v>58.852424068499175</c:v>
                </c:pt>
                <c:pt idx="11">
                  <c:v>62.084351918910755</c:v>
                </c:pt>
                <c:pt idx="12">
                  <c:v>65.22910594365014</c:v>
                </c:pt>
                <c:pt idx="13">
                  <c:v>68.297601672263198</c:v>
                </c:pt>
                <c:pt idx="14">
                  <c:v>71.298762545425248</c:v>
                </c:pt>
                <c:pt idx="15">
                  <c:v>74.239992096459673</c:v>
                </c:pt>
                <c:pt idx="16">
                  <c:v>77.127511509059318</c:v>
                </c:pt>
                <c:pt idx="17">
                  <c:v>79.96660665344065</c:v>
                </c:pt>
                <c:pt idx="18">
                  <c:v>82.761812589302309</c:v>
                </c:pt>
                <c:pt idx="19">
                  <c:v>85.51705384233523</c:v>
                </c:pt>
              </c:numCache>
            </c:numRef>
          </c:yVal>
          <c:smooth val="1"/>
          <c:extLst>
            <c:ext xmlns:c16="http://schemas.microsoft.com/office/drawing/2014/chart" uri="{C3380CC4-5D6E-409C-BE32-E72D297353CC}">
              <c16:uniqueId val="{00000001-3DB8-455A-8FB6-6FF1DB437960}"/>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'不可更改v0的kv算法 (3)'!$AF$24:$AF$43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(3)'!$AM$24:$AM$43</c:f>
              <c:numCache>
                <c:formatCode>General</c:formatCode>
                <c:ptCount val="20"/>
                <c:pt idx="0">
                  <c:v>4.2496525257322908</c:v>
                </c:pt>
                <c:pt idx="1">
                  <c:v>-2.996487932952796</c:v>
                </c:pt>
                <c:pt idx="2">
                  <c:v>-2.6587069731342003</c:v>
                </c:pt>
                <c:pt idx="3">
                  <c:v>-2.7909394525865667</c:v>
                </c:pt>
                <c:pt idx="4">
                  <c:v>1.3780520588185261</c:v>
                </c:pt>
                <c:pt idx="5">
                  <c:v>0.63247813880600567</c:v>
                </c:pt>
                <c:pt idx="6">
                  <c:v>-1.6267678861978139</c:v>
                </c:pt>
                <c:pt idx="7">
                  <c:v>-0.99538735022450808</c:v>
                </c:pt>
                <c:pt idx="8">
                  <c:v>1.7565607926343318</c:v>
                </c:pt>
                <c:pt idx="9">
                  <c:v>0.85761427900885279</c:v>
                </c:pt>
                <c:pt idx="10">
                  <c:v>-1.4696966698261644</c:v>
                </c:pt>
                <c:pt idx="11">
                  <c:v>-1.7776260965750086</c:v>
                </c:pt>
                <c:pt idx="12">
                  <c:v>-1.9204780369533436</c:v>
                </c:pt>
                <c:pt idx="13">
                  <c:v>-1.9367189138256691</c:v>
                </c:pt>
                <c:pt idx="14">
                  <c:v>-1.8553750648932115</c:v>
                </c:pt>
                <c:pt idx="15">
                  <c:v>-1.6986193102187304</c:v>
                </c:pt>
                <c:pt idx="16">
                  <c:v>-1.4835677750780494</c:v>
                </c:pt>
                <c:pt idx="17">
                  <c:v>-1.22355272587424</c:v>
                </c:pt>
                <c:pt idx="18">
                  <c:v>-0.92903974305159653</c:v>
                </c:pt>
                <c:pt idx="19">
                  <c:v>-0.60829863804144679</c:v>
                </c:pt>
              </c:numCache>
            </c:numRef>
          </c:yVal>
          <c:smooth val="1"/>
          <c:extLst>
            <c:ext xmlns:c16="http://schemas.microsoft.com/office/drawing/2014/chart" uri="{C3380CC4-5D6E-409C-BE32-E72D297353CC}">
              <c16:uniqueId val="{00000000-A862-4CEA-942F-34B6986250A6}"/>
            </c:ext>
          </c:extLst>
        </c:ser>
        <c:dLbls>
          <c:showLegendKey val="0"/>
          <c:showVal val="0"/>
          <c:showCatName val="0"/>
          <c:showSerName val="0"/>
          <c:showPercent val="0"/>
          <c:showBubbleSize val="0"/>
        </c:dLbls>
        <c:axId val="519914080"/>
        <c:axId val="519914560"/>
      </c:scatterChart>
      <c:valAx>
        <c:axId val="519914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9914560"/>
        <c:crosses val="autoZero"/>
        <c:crossBetween val="midCat"/>
      </c:valAx>
      <c:valAx>
        <c:axId val="519914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99140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20</a:t>
            </a:r>
            <a:endParaRPr lang="zh-CN"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ltLang="en-US"/>
        </a:p>
      </c:txPr>
    </c:title>
    <c:autoTitleDeleted val="0"/>
    <c:plotArea>
      <c:layout>
        <c:manualLayout>
          <c:layoutTarget val="inner"/>
          <c:xMode val="edge"/>
          <c:yMode val="edge"/>
          <c:x val="4.8726103942387217E-2"/>
          <c:y val="5.7947728355389048E-2"/>
          <c:w val="0.93311483272712736"/>
          <c:h val="0.83969458137154895"/>
        </c:manualLayout>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'不可更改v0的kv算法 (3)'!$AF$2:$AF$21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(3)'!$AK$2:$AK$21</c:f>
              <c:numCache>
                <c:formatCode>General</c:formatCode>
                <c:ptCount val="20"/>
                <c:pt idx="0">
                  <c:v>10</c:v>
                </c:pt>
                <c:pt idx="1">
                  <c:v>19</c:v>
                </c:pt>
                <c:pt idx="2">
                  <c:v>25</c:v>
                </c:pt>
                <c:pt idx="3">
                  <c:v>30</c:v>
                </c:pt>
                <c:pt idx="4">
                  <c:v>36</c:v>
                </c:pt>
                <c:pt idx="5">
                  <c:v>40</c:v>
                </c:pt>
                <c:pt idx="6">
                  <c:v>44</c:v>
                </c:pt>
                <c:pt idx="7">
                  <c:v>48</c:v>
                </c:pt>
                <c:pt idx="8">
                  <c:v>51</c:v>
                </c:pt>
                <c:pt idx="9">
                  <c:v>54</c:v>
                </c:pt>
                <c:pt idx="10">
                  <c:v>57</c:v>
                </c:pt>
                <c:pt idx="11">
                  <c:v>60</c:v>
                </c:pt>
                <c:pt idx="12">
                  <c:v>63</c:v>
                </c:pt>
                <c:pt idx="13">
                  <c:v>66</c:v>
                </c:pt>
                <c:pt idx="14">
                  <c:v>69</c:v>
                </c:pt>
                <c:pt idx="15">
                  <c:v>72</c:v>
                </c:pt>
                <c:pt idx="16">
                  <c:v>74</c:v>
                </c:pt>
                <c:pt idx="17">
                  <c:v>76</c:v>
                </c:pt>
                <c:pt idx="18">
                  <c:v>78</c:v>
                </c:pt>
                <c:pt idx="19">
                  <c:v>80</c:v>
                </c:pt>
              </c:numCache>
            </c:numRef>
          </c:yVal>
          <c:smooth val="1"/>
          <c:extLst>
            <c:ext xmlns:c16="http://schemas.microsoft.com/office/drawing/2014/chart" uri="{C3380CC4-5D6E-409C-BE32-E72D297353CC}">
              <c16:uniqueId val="{00000000-BB26-40B2-AB7C-5CEC15548A83}"/>
            </c:ext>
          </c:extLst>
        </c:ser>
        <c:ser>
          <c:idx val="1"/>
          <c:order val="1"/>
          <c:tx>
            <c:v>predict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'不可更改v0的kv算法 (3)'!$AF$2:$AF$21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(3)'!$AJ$2:$AJ$21</c:f>
              <c:numCache>
                <c:formatCode>General</c:formatCode>
                <c:ptCount val="20"/>
                <c:pt idx="0">
                  <c:v>10.589647925467983</c:v>
                </c:pt>
                <c:pt idx="1">
                  <c:v>19.326631923754242</c:v>
                </c:pt>
                <c:pt idx="2">
                  <c:v>25.706684118824377</c:v>
                </c:pt>
                <c:pt idx="3">
                  <c:v>30.978891605835223</c:v>
                </c:pt>
                <c:pt idx="4">
                  <c:v>35.583695017918423</c:v>
                </c:pt>
                <c:pt idx="5">
                  <c:v>39.733033934443732</c:v>
                </c:pt>
                <c:pt idx="6">
                  <c:v>43.547163785101134</c:v>
                </c:pt>
                <c:pt idx="7">
                  <c:v>47.101764807910286</c:v>
                </c:pt>
                <c:pt idx="8">
                  <c:v>50.447992325426483</c:v>
                </c:pt>
                <c:pt idx="9">
                  <c:v>53.622282451794938</c:v>
                </c:pt>
                <c:pt idx="10">
                  <c:v>56.65164701996197</c:v>
                </c:pt>
                <c:pt idx="11">
                  <c:v>59.556754014620182</c:v>
                </c:pt>
                <c:pt idx="12">
                  <c:v>62.353827174641474</c:v>
                </c:pt>
                <c:pt idx="13">
                  <c:v>65.055873595395198</c:v>
                </c:pt>
                <c:pt idx="14">
                  <c:v>67.673508210038747</c:v>
                </c:pt>
                <c:pt idx="15">
                  <c:v>70.215525674025216</c:v>
                </c:pt>
                <c:pt idx="16">
                  <c:v>72.689308060118577</c:v>
                </c:pt>
                <c:pt idx="17">
                  <c:v>75.101122436212862</c:v>
                </c:pt>
                <c:pt idx="18">
                  <c:v>77.456342566891848</c:v>
                </c:pt>
                <c:pt idx="19">
                  <c:v>79.759617084297119</c:v>
                </c:pt>
              </c:numCache>
            </c:numRef>
          </c:yVal>
          <c:smooth val="1"/>
          <c:extLst>
            <c:ext xmlns:c16="http://schemas.microsoft.com/office/drawing/2014/chart" uri="{C3380CC4-5D6E-409C-BE32-E72D297353CC}">
              <c16:uniqueId val="{00000001-BB26-40B2-AB7C-5CEC15548A83}"/>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'不可更改v0的kv算法 (3)'!$AF$2:$AF$21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(3)'!$AM$2:$AM$21</c:f>
              <c:numCache>
                <c:formatCode>General</c:formatCode>
                <c:ptCount val="20"/>
                <c:pt idx="0">
                  <c:v>-5.896479254679825</c:v>
                </c:pt>
                <c:pt idx="1">
                  <c:v>-1.7191153881802206</c:v>
                </c:pt>
                <c:pt idx="2">
                  <c:v>-2.8267364752975084</c:v>
                </c:pt>
                <c:pt idx="3">
                  <c:v>-3.2629720194507423</c:v>
                </c:pt>
                <c:pt idx="4">
                  <c:v>1.1564027280043809</c:v>
                </c:pt>
                <c:pt idx="5">
                  <c:v>0.66741516389067002</c:v>
                </c:pt>
                <c:pt idx="6">
                  <c:v>1.0291732156792415</c:v>
                </c:pt>
                <c:pt idx="7">
                  <c:v>1.8713233168535719</c:v>
                </c:pt>
                <c:pt idx="8">
                  <c:v>1.0823679893598368</c:v>
                </c:pt>
                <c:pt idx="9">
                  <c:v>0.69947694112048575</c:v>
                </c:pt>
                <c:pt idx="10">
                  <c:v>0.61114557901408706</c:v>
                </c:pt>
                <c:pt idx="11">
                  <c:v>0.73874330896636309</c:v>
                </c:pt>
                <c:pt idx="12">
                  <c:v>1.0256711513627403</c:v>
                </c:pt>
                <c:pt idx="13">
                  <c:v>1.430494552431518</c:v>
                </c:pt>
                <c:pt idx="14">
                  <c:v>1.922451869509062</c:v>
                </c:pt>
                <c:pt idx="15">
                  <c:v>2.4784365638538675</c:v>
                </c:pt>
                <c:pt idx="16">
                  <c:v>1.7712053241640848</c:v>
                </c:pt>
                <c:pt idx="17">
                  <c:v>1.1827336365620242</c:v>
                </c:pt>
                <c:pt idx="18">
                  <c:v>0.69699670911301492</c:v>
                </c:pt>
                <c:pt idx="19">
                  <c:v>0.30047864462860119</c:v>
                </c:pt>
              </c:numCache>
            </c:numRef>
          </c:yVal>
          <c:smooth val="1"/>
          <c:extLst>
            <c:ext xmlns:c16="http://schemas.microsoft.com/office/drawing/2014/chart" uri="{C3380CC4-5D6E-409C-BE32-E72D297353CC}">
              <c16:uniqueId val="{00000000-4936-4A1D-A8E0-4BE458983056}"/>
            </c:ext>
          </c:extLst>
        </c:ser>
        <c:dLbls>
          <c:showLegendKey val="0"/>
          <c:showVal val="0"/>
          <c:showCatName val="0"/>
          <c:showSerName val="0"/>
          <c:showPercent val="0"/>
          <c:showBubbleSize val="0"/>
        </c:dLbls>
        <c:axId val="1557172256"/>
        <c:axId val="1557170816"/>
      </c:scatterChart>
      <c:valAx>
        <c:axId val="1557172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57170816"/>
        <c:crosses val="autoZero"/>
        <c:crossBetween val="midCat"/>
      </c:valAx>
      <c:valAx>
        <c:axId val="155717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571722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50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'不可更改v0的kv算法 (3)'!$V$24:$V$43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(3)'!$AA$24:$AA$43</c:f>
              <c:numCache>
                <c:formatCode>General</c:formatCode>
                <c:ptCount val="20"/>
                <c:pt idx="0">
                  <c:v>14</c:v>
                </c:pt>
                <c:pt idx="1">
                  <c:v>20</c:v>
                </c:pt>
                <c:pt idx="2">
                  <c:v>24</c:v>
                </c:pt>
                <c:pt idx="3">
                  <c:v>28</c:v>
                </c:pt>
                <c:pt idx="4">
                  <c:v>32</c:v>
                </c:pt>
                <c:pt idx="5">
                  <c:v>35</c:v>
                </c:pt>
                <c:pt idx="6">
                  <c:v>39</c:v>
                </c:pt>
                <c:pt idx="7">
                  <c:v>42</c:v>
                </c:pt>
                <c:pt idx="8">
                  <c:v>44</c:v>
                </c:pt>
                <c:pt idx="9">
                  <c:v>48</c:v>
                </c:pt>
                <c:pt idx="10">
                  <c:v>50</c:v>
                </c:pt>
                <c:pt idx="11">
                  <c:v>53</c:v>
                </c:pt>
                <c:pt idx="12">
                  <c:v>55</c:v>
                </c:pt>
                <c:pt idx="13">
                  <c:v>58</c:v>
                </c:pt>
                <c:pt idx="14">
                  <c:v>60</c:v>
                </c:pt>
                <c:pt idx="15">
                  <c:v>63</c:v>
                </c:pt>
                <c:pt idx="16">
                  <c:v>65</c:v>
                </c:pt>
                <c:pt idx="17">
                  <c:v>68</c:v>
                </c:pt>
                <c:pt idx="18">
                  <c:v>70</c:v>
                </c:pt>
                <c:pt idx="19">
                  <c:v>72</c:v>
                </c:pt>
              </c:numCache>
            </c:numRef>
          </c:yVal>
          <c:smooth val="1"/>
          <c:extLst>
            <c:ext xmlns:c16="http://schemas.microsoft.com/office/drawing/2014/chart" uri="{C3380CC4-5D6E-409C-BE32-E72D297353CC}">
              <c16:uniqueId val="{00000000-0850-4156-BCD0-89663A8FE719}"/>
            </c:ext>
          </c:extLst>
        </c:ser>
        <c:ser>
          <c:idx val="1"/>
          <c:order val="1"/>
          <c:tx>
            <c:v>predict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'不可更改v0的kv算法 (3)'!$V$24:$V$43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(3)'!$Z$24:$Z$43</c:f>
              <c:numCache>
                <c:formatCode>General</c:formatCode>
                <c:ptCount val="20"/>
                <c:pt idx="0">
                  <c:v>10.388618960494242</c:v>
                </c:pt>
                <c:pt idx="1">
                  <c:v>17.499094611762946</c:v>
                </c:pt>
                <c:pt idx="2">
                  <c:v>22.725290659794997</c:v>
                </c:pt>
                <c:pt idx="3">
                  <c:v>27.112470425235713</c:v>
                </c:pt>
                <c:pt idx="4">
                  <c:v>30.998579832211153</c:v>
                </c:pt>
                <c:pt idx="5">
                  <c:v>34.542943853483791</c:v>
                </c:pt>
                <c:pt idx="6">
                  <c:v>37.835519217992882</c:v>
                </c:pt>
                <c:pt idx="7">
                  <c:v>40.932925084253789</c:v>
                </c:pt>
                <c:pt idx="8">
                  <c:v>43.873506046025703</c:v>
                </c:pt>
                <c:pt idx="9">
                  <c:v>46.684641960669644</c:v>
                </c:pt>
                <c:pt idx="10">
                  <c:v>49.386683454560469</c:v>
                </c:pt>
                <c:pt idx="11">
                  <c:v>51.99524026401253</c:v>
                </c:pt>
                <c:pt idx="12">
                  <c:v>54.522593442079099</c:v>
                </c:pt>
                <c:pt idx="13">
                  <c:v>56.978609294704157</c:v>
                </c:pt>
                <c:pt idx="14">
                  <c:v>59.371354291900559</c:v>
                </c:pt>
                <c:pt idx="15">
                  <c:v>61.707522415286022</c:v>
                </c:pt>
                <c:pt idx="16">
                  <c:v>63.992740417499647</c:v>
                </c:pt>
                <c:pt idx="17">
                  <c:v>66.231791069495756</c:v>
                </c:pt>
                <c:pt idx="18">
                  <c:v>68.428779801277557</c:v>
                </c:pt>
                <c:pt idx="19">
                  <c:v>70.587261337429496</c:v>
                </c:pt>
              </c:numCache>
            </c:numRef>
          </c:yVal>
          <c:smooth val="1"/>
          <c:extLst>
            <c:ext xmlns:c16="http://schemas.microsoft.com/office/drawing/2014/chart" uri="{C3380CC4-5D6E-409C-BE32-E72D297353CC}">
              <c16:uniqueId val="{00000001-0850-4156-BCD0-89663A8FE719}"/>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'不可更改v0的kv算法 (3)'!$V$24:$V$43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(3)'!$AC$24:$AC$43</c:f>
              <c:numCache>
                <c:formatCode>General</c:formatCode>
                <c:ptCount val="20"/>
                <c:pt idx="0">
                  <c:v>25.795578853612561</c:v>
                </c:pt>
                <c:pt idx="1">
                  <c:v>12.504526941185274</c:v>
                </c:pt>
                <c:pt idx="2">
                  <c:v>5.311288917520848</c:v>
                </c:pt>
                <c:pt idx="3">
                  <c:v>3.1697484813010233</c:v>
                </c:pt>
                <c:pt idx="4">
                  <c:v>3.1294380243401476</c:v>
                </c:pt>
                <c:pt idx="5">
                  <c:v>1.3058747043320245</c:v>
                </c:pt>
                <c:pt idx="6">
                  <c:v>2.98584815899261</c:v>
                </c:pt>
                <c:pt idx="7">
                  <c:v>2.5406545613005029</c:v>
                </c:pt>
                <c:pt idx="8">
                  <c:v>0.28748625903249286</c:v>
                </c:pt>
                <c:pt idx="9">
                  <c:v>2.7403292486049073</c:v>
                </c:pt>
                <c:pt idx="10">
                  <c:v>1.2266330908790621</c:v>
                </c:pt>
                <c:pt idx="11">
                  <c:v>1.8957730867688114</c:v>
                </c:pt>
                <c:pt idx="12">
                  <c:v>0.86801192349254697</c:v>
                </c:pt>
                <c:pt idx="13">
                  <c:v>1.7610184574066263</c:v>
                </c:pt>
                <c:pt idx="14">
                  <c:v>1.0477428468324017</c:v>
                </c:pt>
                <c:pt idx="15">
                  <c:v>2.0515517217682198</c:v>
                </c:pt>
                <c:pt idx="16">
                  <c:v>1.5496301269236203</c:v>
                </c:pt>
                <c:pt idx="17">
                  <c:v>2.600307250741535</c:v>
                </c:pt>
                <c:pt idx="18">
                  <c:v>2.2446002838892047</c:v>
                </c:pt>
                <c:pt idx="19">
                  <c:v>1.9621370313479227</c:v>
                </c:pt>
              </c:numCache>
            </c:numRef>
          </c:yVal>
          <c:smooth val="1"/>
          <c:extLst>
            <c:ext xmlns:c16="http://schemas.microsoft.com/office/drawing/2014/chart" uri="{C3380CC4-5D6E-409C-BE32-E72D297353CC}">
              <c16:uniqueId val="{00000000-62FF-48A9-A614-F2708BC9F263}"/>
            </c:ext>
          </c:extLst>
        </c:ser>
        <c:dLbls>
          <c:showLegendKey val="0"/>
          <c:showVal val="0"/>
          <c:showCatName val="0"/>
          <c:showSerName val="0"/>
          <c:showPercent val="0"/>
          <c:showBubbleSize val="0"/>
        </c:dLbls>
        <c:axId val="1616048352"/>
        <c:axId val="1616049792"/>
      </c:scatterChart>
      <c:valAx>
        <c:axId val="1616048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616049792"/>
        <c:crosses val="autoZero"/>
        <c:crossBetween val="midCat"/>
      </c:valAx>
      <c:valAx>
        <c:axId val="1616049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61604835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高抛</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'不可更改v0的kv算法 (3)'!$AQ$2:$AQ$21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(3)'!$AV$2:$AV$21</c:f>
              <c:numCache>
                <c:formatCode>General</c:formatCode>
                <c:ptCount val="20"/>
                <c:pt idx="0">
                  <c:v>95</c:v>
                </c:pt>
                <c:pt idx="1">
                  <c:v>95</c:v>
                </c:pt>
                <c:pt idx="2">
                  <c:v>95</c:v>
                </c:pt>
                <c:pt idx="3">
                  <c:v>95</c:v>
                </c:pt>
                <c:pt idx="4">
                  <c:v>95</c:v>
                </c:pt>
                <c:pt idx="5">
                  <c:v>95</c:v>
                </c:pt>
                <c:pt idx="6">
                  <c:v>95</c:v>
                </c:pt>
                <c:pt idx="7">
                  <c:v>95</c:v>
                </c:pt>
                <c:pt idx="8">
                  <c:v>95</c:v>
                </c:pt>
                <c:pt idx="9">
                  <c:v>95</c:v>
                </c:pt>
                <c:pt idx="10">
                  <c:v>95</c:v>
                </c:pt>
                <c:pt idx="11">
                  <c:v>95</c:v>
                </c:pt>
                <c:pt idx="12">
                  <c:v>95</c:v>
                </c:pt>
                <c:pt idx="13">
                  <c:v>95</c:v>
                </c:pt>
                <c:pt idx="14">
                  <c:v>95</c:v>
                </c:pt>
                <c:pt idx="15">
                  <c:v>95</c:v>
                </c:pt>
                <c:pt idx="16">
                  <c:v>95</c:v>
                </c:pt>
                <c:pt idx="17">
                  <c:v>95</c:v>
                </c:pt>
                <c:pt idx="18">
                  <c:v>95</c:v>
                </c:pt>
                <c:pt idx="19">
                  <c:v>95</c:v>
                </c:pt>
              </c:numCache>
            </c:numRef>
          </c:yVal>
          <c:smooth val="1"/>
          <c:extLst>
            <c:ext xmlns:c16="http://schemas.microsoft.com/office/drawing/2014/chart" uri="{C3380CC4-5D6E-409C-BE32-E72D297353CC}">
              <c16:uniqueId val="{00000000-09D2-43A4-A4A0-A8A49E3E2425}"/>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'不可更改v0的kv算法 (3)'!$AQ$2:$AQ$21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(3)'!$AU$2:$AU$21</c:f>
              <c:numCache>
                <c:formatCode>General</c:formatCode>
                <c:ptCount val="20"/>
                <c:pt idx="0">
                  <c:v>74.977107995250861</c:v>
                </c:pt>
                <c:pt idx="1">
                  <c:v>84.841526857372145</c:v>
                </c:pt>
                <c:pt idx="2">
                  <c:v>88.061212945656109</c:v>
                </c:pt>
                <c:pt idx="3">
                  <c:v>89.690992601522552</c:v>
                </c:pt>
                <c:pt idx="4">
                  <c:v>90.702590344840189</c:v>
                </c:pt>
                <c:pt idx="5">
                  <c:v>91.415406609316804</c:v>
                </c:pt>
                <c:pt idx="6">
                  <c:v>91.965345425298963</c:v>
                </c:pt>
                <c:pt idx="7">
                  <c:v>92.420092821842687</c:v>
                </c:pt>
                <c:pt idx="8">
                  <c:v>92.817190708291903</c:v>
                </c:pt>
                <c:pt idx="9">
                  <c:v>93.17917573644084</c:v>
                </c:pt>
                <c:pt idx="10">
                  <c:v>93.520431703728818</c:v>
                </c:pt>
                <c:pt idx="11">
                  <c:v>93.850605133373421</c:v>
                </c:pt>
                <c:pt idx="12">
                  <c:v>94.176440152865339</c:v>
                </c:pt>
                <c:pt idx="13">
                  <c:v>94.502825200961738</c:v>
                </c:pt>
                <c:pt idx="14">
                  <c:v>94.833420331333883</c:v>
                </c:pt>
                <c:pt idx="15">
                  <c:v>95.171049062479256</c:v>
                </c:pt>
                <c:pt idx="16">
                  <c:v>95.517951970479444</c:v>
                </c:pt>
                <c:pt idx="17">
                  <c:v>95.875955936163408</c:v>
                </c:pt>
                <c:pt idx="18">
                  <c:v>96.246590217464515</c:v>
                </c:pt>
                <c:pt idx="19">
                  <c:v>96.631168029742298</c:v>
                </c:pt>
              </c:numCache>
            </c:numRef>
          </c:yVal>
          <c:smooth val="1"/>
          <c:extLst>
            <c:ext xmlns:c16="http://schemas.microsoft.com/office/drawing/2014/chart" uri="{C3380CC4-5D6E-409C-BE32-E72D297353CC}">
              <c16:uniqueId val="{00000001-09D2-43A4-A4A0-A8A49E3E2425}"/>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'不可更改v0的kv算法 (3)'!$AQ$2:$AQ$21</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(3)'!$AX$2:$AX$21</c:f>
              <c:numCache>
                <c:formatCode>General</c:formatCode>
                <c:ptCount val="20"/>
                <c:pt idx="0">
                  <c:v>21.076728426051723</c:v>
                </c:pt>
                <c:pt idx="1">
                  <c:v>10.693129623818795</c:v>
                </c:pt>
                <c:pt idx="2">
                  <c:v>7.3039863729935695</c:v>
                </c:pt>
                <c:pt idx="3">
                  <c:v>5.5884288405025764</c:v>
                </c:pt>
                <c:pt idx="4">
                  <c:v>4.5235891106945374</c:v>
                </c:pt>
                <c:pt idx="5">
                  <c:v>3.7732562007191537</c:v>
                </c:pt>
                <c:pt idx="6">
                  <c:v>3.1943732365274071</c:v>
                </c:pt>
                <c:pt idx="7">
                  <c:v>2.7156917664813824</c:v>
                </c:pt>
                <c:pt idx="8">
                  <c:v>2.2976939912716805</c:v>
                </c:pt>
                <c:pt idx="9">
                  <c:v>1.9166571195359583</c:v>
                </c:pt>
                <c:pt idx="10">
                  <c:v>1.5574403118644025</c:v>
                </c:pt>
                <c:pt idx="11">
                  <c:v>1.2098893332911362</c:v>
                </c:pt>
                <c:pt idx="12">
                  <c:v>0.86690510224701112</c:v>
                </c:pt>
                <c:pt idx="13">
                  <c:v>0.52334189372448681</c:v>
                </c:pt>
                <c:pt idx="14">
                  <c:v>0.17534701964854393</c:v>
                </c:pt>
                <c:pt idx="15">
                  <c:v>-0.18005164471500584</c:v>
                </c:pt>
                <c:pt idx="16">
                  <c:v>-0.54521260050467835</c:v>
                </c:pt>
                <c:pt idx="17">
                  <c:v>-0.92205888017200788</c:v>
                </c:pt>
                <c:pt idx="18">
                  <c:v>-1.3122002289100159</c:v>
                </c:pt>
                <c:pt idx="19">
                  <c:v>-1.7170189786761034</c:v>
                </c:pt>
              </c:numCache>
            </c:numRef>
          </c:yVal>
          <c:smooth val="1"/>
          <c:extLst>
            <c:ext xmlns:c16="http://schemas.microsoft.com/office/drawing/2014/chart" uri="{C3380CC4-5D6E-409C-BE32-E72D297353CC}">
              <c16:uniqueId val="{00000002-09D2-43A4-A4A0-A8A49E3E2425}"/>
            </c:ext>
          </c:extLst>
        </c:ser>
        <c:dLbls>
          <c:showLegendKey val="0"/>
          <c:showVal val="0"/>
          <c:showCatName val="0"/>
          <c:showSerName val="0"/>
          <c:showPercent val="0"/>
          <c:showBubbleSize val="0"/>
        </c:dLbls>
        <c:axId val="559696207"/>
        <c:axId val="1744057583"/>
      </c:scatterChart>
      <c:valAx>
        <c:axId val="5596962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44057583"/>
        <c:crosses val="autoZero"/>
        <c:crossBetween val="midCat"/>
      </c:valAx>
      <c:valAx>
        <c:axId val="1744057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5969620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半抛</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'不可更改v0的kv算法 (3)'!$AQ$24:$AQ$43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(3)'!$AV$24:$AV$43</c:f>
              <c:numCache>
                <c:formatCode>General</c:formatCode>
                <c:ptCount val="20"/>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numCache>
            </c:numRef>
          </c:yVal>
          <c:smooth val="1"/>
          <c:extLst>
            <c:ext xmlns:c16="http://schemas.microsoft.com/office/drawing/2014/chart" uri="{C3380CC4-5D6E-409C-BE32-E72D297353CC}">
              <c16:uniqueId val="{00000000-AB3C-4339-8635-85658B01C31E}"/>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'不可更改v0的kv算法 (3)'!$AQ$24:$AQ$43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(3)'!$AU$24:$AU$43</c:f>
              <c:numCache>
                <c:formatCode>General</c:formatCode>
                <c:ptCount val="20"/>
                <c:pt idx="0">
                  <c:v>49.232678049924203</c:v>
                </c:pt>
                <c:pt idx="1">
                  <c:v>55.336280216828769</c:v>
                </c:pt>
                <c:pt idx="2">
                  <c:v>57.37764559505046</c:v>
                </c:pt>
                <c:pt idx="3">
                  <c:v>58.484159634576869</c:v>
                </c:pt>
                <c:pt idx="4">
                  <c:v>59.250791197389951</c:v>
                </c:pt>
                <c:pt idx="5">
                  <c:v>59.872830257149445</c:v>
                </c:pt>
                <c:pt idx="6">
                  <c:v>60.433821341074541</c:v>
                </c:pt>
                <c:pt idx="7">
                  <c:v>60.976016700072016</c:v>
                </c:pt>
                <c:pt idx="8">
                  <c:v>61.523588885906335</c:v>
                </c:pt>
                <c:pt idx="9">
                  <c:v>62.09185537290228</c:v>
                </c:pt>
                <c:pt idx="10">
                  <c:v>62.691462527114012</c:v>
                </c:pt>
                <c:pt idx="11">
                  <c:v>63.330485097223701</c:v>
                </c:pt>
                <c:pt idx="12">
                  <c:v>64.015571418550877</c:v>
                </c:pt>
                <c:pt idx="13">
                  <c:v>64.7526169859742</c:v>
                </c:pt>
                <c:pt idx="14">
                  <c:v>65.547191571483367</c:v>
                </c:pt>
                <c:pt idx="15">
                  <c:v>66.404833104626022</c:v>
                </c:pt>
                <c:pt idx="16">
                  <c:v>67.331269305188613</c:v>
                </c:pt>
                <c:pt idx="17">
                  <c:v>68.332602369792198</c:v>
                </c:pt>
                <c:pt idx="18">
                  <c:v>69.415478980167819</c:v>
                </c:pt>
                <c:pt idx="19">
                  <c:v>70.587261337429496</c:v>
                </c:pt>
              </c:numCache>
            </c:numRef>
          </c:yVal>
          <c:smooth val="1"/>
          <c:extLst>
            <c:ext xmlns:c16="http://schemas.microsoft.com/office/drawing/2014/chart" uri="{C3380CC4-5D6E-409C-BE32-E72D297353CC}">
              <c16:uniqueId val="{00000001-AB3C-4339-8635-85658B01C31E}"/>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'不可更改v0的kv算法 (3)'!$AQ$24:$AQ$43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'不可更改v0的kv算法 (3)'!$AX$24:$AX$43</c:f>
              <c:numCache>
                <c:formatCode>General</c:formatCode>
                <c:ptCount val="20"/>
                <c:pt idx="0">
                  <c:v>17.945536583459663</c:v>
                </c:pt>
                <c:pt idx="1">
                  <c:v>7.772866305285385</c:v>
                </c:pt>
                <c:pt idx="2">
                  <c:v>4.3705906749159</c:v>
                </c:pt>
                <c:pt idx="3">
                  <c:v>2.5264006090385513</c:v>
                </c:pt>
                <c:pt idx="4">
                  <c:v>1.2486813376834149</c:v>
                </c:pt>
                <c:pt idx="5">
                  <c:v>0.21194957141759119</c:v>
                </c:pt>
                <c:pt idx="6">
                  <c:v>-0.72303556845756844</c:v>
                </c:pt>
                <c:pt idx="7">
                  <c:v>-1.6266945001200264</c:v>
                </c:pt>
                <c:pt idx="8">
                  <c:v>-2.5393148098438916</c:v>
                </c:pt>
                <c:pt idx="9">
                  <c:v>-3.4864256215038005</c:v>
                </c:pt>
                <c:pt idx="10">
                  <c:v>-4.4857708785233541</c:v>
                </c:pt>
                <c:pt idx="11">
                  <c:v>-5.5508084953728343</c:v>
                </c:pt>
                <c:pt idx="12">
                  <c:v>-6.692619030918129</c:v>
                </c:pt>
                <c:pt idx="13">
                  <c:v>-7.9210283099569994</c:v>
                </c:pt>
                <c:pt idx="14">
                  <c:v>-9.2453192858056124</c:v>
                </c:pt>
                <c:pt idx="15">
                  <c:v>-10.67472184104337</c:v>
                </c:pt>
                <c:pt idx="16">
                  <c:v>-12.218782175314354</c:v>
                </c:pt>
                <c:pt idx="17">
                  <c:v>-13.88767061632033</c:v>
                </c:pt>
                <c:pt idx="18">
                  <c:v>-15.692464966946366</c:v>
                </c:pt>
                <c:pt idx="19">
                  <c:v>-17.645435562382492</c:v>
                </c:pt>
              </c:numCache>
            </c:numRef>
          </c:yVal>
          <c:smooth val="1"/>
          <c:extLst>
            <c:ext xmlns:c16="http://schemas.microsoft.com/office/drawing/2014/chart" uri="{C3380CC4-5D6E-409C-BE32-E72D297353CC}">
              <c16:uniqueId val="{00000002-AB3C-4339-8635-85658B01C31E}"/>
            </c:ext>
          </c:extLst>
        </c:ser>
        <c:dLbls>
          <c:showLegendKey val="0"/>
          <c:showVal val="0"/>
          <c:showCatName val="0"/>
          <c:showSerName val="0"/>
          <c:showPercent val="0"/>
          <c:showBubbleSize val="0"/>
        </c:dLbls>
        <c:axId val="1755458047"/>
        <c:axId val="1755459487"/>
      </c:scatterChart>
      <c:valAx>
        <c:axId val="17554580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55459487"/>
        <c:crosses val="autoZero"/>
        <c:crossBetween val="midCat"/>
      </c:valAx>
      <c:valAx>
        <c:axId val="1755459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5545804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absolute">
    <xdr:from>
      <xdr:col>8</xdr:col>
      <xdr:colOff>361950</xdr:colOff>
      <xdr:row>0</xdr:row>
      <xdr:rowOff>0</xdr:rowOff>
    </xdr:from>
    <xdr:to>
      <xdr:col>19</xdr:col>
      <xdr:colOff>18150</xdr:colOff>
      <xdr:row>39</xdr:row>
      <xdr:rowOff>141975</xdr:rowOff>
    </xdr:to>
    <xdr:graphicFrame macro="">
      <xdr:nvGraphicFramePr>
        <xdr:cNvPr id="2" name="图表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47625</xdr:colOff>
      <xdr:row>0</xdr:row>
      <xdr:rowOff>0</xdr:rowOff>
    </xdr:from>
    <xdr:to>
      <xdr:col>19</xdr:col>
      <xdr:colOff>389625</xdr:colOff>
      <xdr:row>39</xdr:row>
      <xdr:rowOff>141975</xdr:rowOff>
    </xdr:to>
    <xdr:graphicFrame macro="">
      <xdr:nvGraphicFramePr>
        <xdr:cNvPr id="2" name="图表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127000</xdr:colOff>
      <xdr:row>2</xdr:row>
      <xdr:rowOff>62753</xdr:rowOff>
    </xdr:from>
    <xdr:to>
      <xdr:col>19</xdr:col>
      <xdr:colOff>50320</xdr:colOff>
      <xdr:row>26</xdr:row>
      <xdr:rowOff>60778</xdr:rowOff>
    </xdr:to>
    <xdr:graphicFrame macro="">
      <xdr:nvGraphicFramePr>
        <xdr:cNvPr id="4" name="图表 3">
          <a:extLst>
            <a:ext uri="{FF2B5EF4-FFF2-40B4-BE49-F238E27FC236}">
              <a16:creationId xmlns:a16="http://schemas.microsoft.com/office/drawing/2014/main" id="{282246ED-5B79-1A42-947A-537D8870C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170999</xdr:colOff>
      <xdr:row>24</xdr:row>
      <xdr:rowOff>105683</xdr:rowOff>
    </xdr:from>
    <xdr:to>
      <xdr:col>30</xdr:col>
      <xdr:colOff>260351</xdr:colOff>
      <xdr:row>49</xdr:row>
      <xdr:rowOff>12700</xdr:rowOff>
    </xdr:to>
    <xdr:graphicFrame macro="">
      <xdr:nvGraphicFramePr>
        <xdr:cNvPr id="5" name="图表 4">
          <a:extLst>
            <a:ext uri="{FF2B5EF4-FFF2-40B4-BE49-F238E27FC236}">
              <a16:creationId xmlns:a16="http://schemas.microsoft.com/office/drawing/2014/main" id="{A7C8D3CE-A00D-42FC-ACEC-2137FAD1A6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99332</xdr:colOff>
      <xdr:row>0</xdr:row>
      <xdr:rowOff>127000</xdr:rowOff>
    </xdr:from>
    <xdr:to>
      <xdr:col>30</xdr:col>
      <xdr:colOff>270782</xdr:colOff>
      <xdr:row>26</xdr:row>
      <xdr:rowOff>102664</xdr:rowOff>
    </xdr:to>
    <xdr:graphicFrame macro="">
      <xdr:nvGraphicFramePr>
        <xdr:cNvPr id="6" name="图表 5">
          <a:extLst>
            <a:ext uri="{FF2B5EF4-FFF2-40B4-BE49-F238E27FC236}">
              <a16:creationId xmlns:a16="http://schemas.microsoft.com/office/drawing/2014/main" id="{ADA653E9-FCAD-7E43-5043-626B3603E8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109552</xdr:colOff>
      <xdr:row>26</xdr:row>
      <xdr:rowOff>93330</xdr:rowOff>
    </xdr:from>
    <xdr:to>
      <xdr:col>19</xdr:col>
      <xdr:colOff>130720</xdr:colOff>
      <xdr:row>48</xdr:row>
      <xdr:rowOff>76333</xdr:rowOff>
    </xdr:to>
    <xdr:graphicFrame macro="">
      <xdr:nvGraphicFramePr>
        <xdr:cNvPr id="7" name="图表 6">
          <a:extLst>
            <a:ext uri="{FF2B5EF4-FFF2-40B4-BE49-F238E27FC236}">
              <a16:creationId xmlns:a16="http://schemas.microsoft.com/office/drawing/2014/main" id="{E33D533B-3D35-0E0A-C597-E75C3B52C9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400050</xdr:colOff>
      <xdr:row>0</xdr:row>
      <xdr:rowOff>133350</xdr:rowOff>
    </xdr:from>
    <xdr:to>
      <xdr:col>40</xdr:col>
      <xdr:colOff>234950</xdr:colOff>
      <xdr:row>26</xdr:row>
      <xdr:rowOff>63500</xdr:rowOff>
    </xdr:to>
    <xdr:graphicFrame macro="">
      <xdr:nvGraphicFramePr>
        <xdr:cNvPr id="3" name="图表 2">
          <a:extLst>
            <a:ext uri="{FF2B5EF4-FFF2-40B4-BE49-F238E27FC236}">
              <a16:creationId xmlns:a16="http://schemas.microsoft.com/office/drawing/2014/main" id="{CD71D7D1-A6B5-B037-9C78-EEE08F1438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30</xdr:col>
      <xdr:colOff>387350</xdr:colOff>
      <xdr:row>26</xdr:row>
      <xdr:rowOff>95250</xdr:rowOff>
    </xdr:from>
    <xdr:to>
      <xdr:col>40</xdr:col>
      <xdr:colOff>234950</xdr:colOff>
      <xdr:row>48</xdr:row>
      <xdr:rowOff>107950</xdr:rowOff>
    </xdr:to>
    <xdr:graphicFrame macro="">
      <xdr:nvGraphicFramePr>
        <xdr:cNvPr id="9" name="图表 8">
          <a:extLst>
            <a:ext uri="{FF2B5EF4-FFF2-40B4-BE49-F238E27FC236}">
              <a16:creationId xmlns:a16="http://schemas.microsoft.com/office/drawing/2014/main" id="{A5EF8C00-897B-6F17-19B2-DDBA06980C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U84"/>
  <sheetViews>
    <sheetView zoomScaleNormal="100" workbookViewId="0">
      <selection activeCell="E12" sqref="E12"/>
    </sheetView>
  </sheetViews>
  <sheetFormatPr defaultRowHeight="14" x14ac:dyDescent="0.3"/>
  <cols>
    <col min="2" max="2" width="13.83203125" bestFit="1" customWidth="1"/>
  </cols>
  <sheetData>
    <row r="1" spans="1:9" ht="14.5" x14ac:dyDescent="0.3">
      <c r="A1" s="6" t="s">
        <v>19</v>
      </c>
      <c r="B1" s="3" t="s">
        <v>7</v>
      </c>
      <c r="C1" s="4" t="s">
        <v>15</v>
      </c>
      <c r="D1" s="4" t="s">
        <v>16</v>
      </c>
      <c r="E1" s="3" t="s">
        <v>17</v>
      </c>
      <c r="G1" t="s">
        <v>1</v>
      </c>
      <c r="H1" t="s">
        <v>2</v>
      </c>
      <c r="I1" t="s">
        <v>0</v>
      </c>
    </row>
    <row r="2" spans="1:9" x14ac:dyDescent="0.3">
      <c r="A2">
        <v>0.86</v>
      </c>
      <c r="B2">
        <v>0.82</v>
      </c>
      <c r="C2">
        <v>-0.32</v>
      </c>
      <c r="D2">
        <v>-23.45</v>
      </c>
      <c r="E2">
        <v>2.83</v>
      </c>
      <c r="G2">
        <f>(EXP(C$2*I2)-1)*(B$4+E$10*B$2/C$2)/C$2-E$10*B$2/C$2*I2</f>
        <v>1.1402474233200206</v>
      </c>
      <c r="H2">
        <f>(EXP(C$2*I2)-1)*(A$4+D$2/C$2)/C$2-D$2/C$2*I2</f>
        <v>3.0167947731905738</v>
      </c>
      <c r="I2">
        <v>0.1</v>
      </c>
    </row>
    <row r="3" spans="1:9" ht="14.5" x14ac:dyDescent="0.3">
      <c r="A3" s="10" t="s">
        <v>23</v>
      </c>
      <c r="B3" s="10" t="s">
        <v>24</v>
      </c>
      <c r="C3" t="s">
        <v>55</v>
      </c>
      <c r="D3" s="6" t="s">
        <v>10</v>
      </c>
      <c r="E3">
        <v>1</v>
      </c>
      <c r="F3" t="s">
        <v>49</v>
      </c>
      <c r="G3">
        <f t="shared" ref="G3:G53" si="0">(EXP(C$2*I3)-1)*(B$4+E$10*B$2/C$2)/C$2-E$10*B$2/C$2*I3</f>
        <v>2.2445845580043073</v>
      </c>
      <c r="H3">
        <f t="shared" ref="H3:H53" si="1">(EXP(C$2*I3)-1)*(A$4+D$2/C$2)/C$2-D$2/C$2*I3</f>
        <v>5.7077926646069024</v>
      </c>
      <c r="I3">
        <v>0.2</v>
      </c>
    </row>
    <row r="4" spans="1:9" ht="14.5" x14ac:dyDescent="0.3">
      <c r="A4">
        <f>SIN(RADIANS(E11))*A13</f>
        <v>31.831962409834269</v>
      </c>
      <c r="B4">
        <f>COS(RADIANS(E11))*A13</f>
        <v>11.585886815460329</v>
      </c>
      <c r="D4" s="6" t="s">
        <v>26</v>
      </c>
      <c r="E4">
        <f>ABS(COS(RADIANS(E11)))</f>
        <v>0.34202014332566882</v>
      </c>
      <c r="F4" t="s">
        <v>47</v>
      </c>
      <c r="G4">
        <f t="shared" si="0"/>
        <v>3.3141423417805167</v>
      </c>
      <c r="H4">
        <f t="shared" si="1"/>
        <v>8.0832541316039439</v>
      </c>
      <c r="I4">
        <v>0.3</v>
      </c>
    </row>
    <row r="5" spans="1:9" ht="14.5" x14ac:dyDescent="0.3">
      <c r="A5" s="14" t="s">
        <v>31</v>
      </c>
      <c r="B5" s="14" t="s">
        <v>32</v>
      </c>
      <c r="C5" t="s">
        <v>51</v>
      </c>
      <c r="D5" s="6" t="s">
        <v>27</v>
      </c>
      <c r="E5">
        <f>POWER(2,-ABS(0.7*SIN(RADIANS(E11))*TAN(RADIANS(E11))))</f>
        <v>0.28573526750944084</v>
      </c>
      <c r="F5" t="s">
        <v>46</v>
      </c>
      <c r="G5">
        <f t="shared" si="0"/>
        <v>4.3500160952818199</v>
      </c>
      <c r="H5">
        <f t="shared" si="1"/>
        <v>10.153116494665248</v>
      </c>
      <c r="I5">
        <v>0.4</v>
      </c>
    </row>
    <row r="6" spans="1:9" ht="14.5" x14ac:dyDescent="0.3">
      <c r="A6">
        <f>ABS(F15*F8/10-A8-COS(RADIANS(F11))*A2*E3)</f>
        <v>19.836600493711373</v>
      </c>
      <c r="B6">
        <f>E9-B8-SIN(RADIANS(F11))*A2*E3</f>
        <v>-1.5689849314687172</v>
      </c>
      <c r="D6" s="6" t="s">
        <v>18</v>
      </c>
      <c r="E6">
        <f>1</f>
        <v>1</v>
      </c>
      <c r="G6">
        <f t="shared" si="0"/>
        <v>5.3532666437509127</v>
      </c>
      <c r="H6">
        <f t="shared" si="1"/>
        <v>11.927004114087204</v>
      </c>
      <c r="I6">
        <v>0.5</v>
      </c>
    </row>
    <row r="7" spans="1:9" ht="14.5" x14ac:dyDescent="0.3">
      <c r="A7" s="6" t="s">
        <v>29</v>
      </c>
      <c r="B7" s="5" t="s">
        <v>30</v>
      </c>
      <c r="C7" t="s">
        <v>54</v>
      </c>
      <c r="D7" s="19" t="s">
        <v>57</v>
      </c>
      <c r="E7" s="12" t="s">
        <v>56</v>
      </c>
      <c r="F7" s="12" t="s">
        <v>60</v>
      </c>
      <c r="G7">
        <f t="shared" si="0"/>
        <v>6.3249214034177959</v>
      </c>
      <c r="H7">
        <f t="shared" si="1"/>
        <v>13.414238246165333</v>
      </c>
      <c r="I7">
        <v>0.6</v>
      </c>
    </row>
    <row r="8" spans="1:9" ht="14.5" x14ac:dyDescent="0.3">
      <c r="A8">
        <f>COS(RADIANS(E28))*E23-SIN(RADIANS(E28))*F23</f>
        <v>-0.13073781697144701</v>
      </c>
      <c r="B8">
        <f>SIN(RADIANS(E28))*E23+COS(RADIANS(E28))*F23</f>
        <v>0.76084927759283605</v>
      </c>
      <c r="D8" s="7" t="s">
        <v>20</v>
      </c>
      <c r="E8">
        <f>ABS(F8)/10</f>
        <v>20</v>
      </c>
      <c r="F8" s="13">
        <v>200</v>
      </c>
      <c r="G8">
        <f t="shared" si="0"/>
        <v>7.2659754336637485</v>
      </c>
      <c r="H8">
        <f t="shared" si="1"/>
        <v>14.623846588974885</v>
      </c>
      <c r="I8">
        <v>0.7</v>
      </c>
    </row>
    <row r="9" spans="1:9" ht="14.5" x14ac:dyDescent="0.3">
      <c r="D9" s="7" t="s">
        <v>21</v>
      </c>
      <c r="E9">
        <f>F9/10</f>
        <v>0</v>
      </c>
      <c r="F9" s="13">
        <v>0</v>
      </c>
      <c r="G9">
        <f t="shared" si="0"/>
        <v>8.1773924560491142</v>
      </c>
      <c r="H9">
        <f t="shared" si="1"/>
        <v>15.564572527523026</v>
      </c>
      <c r="I9">
        <v>0.8</v>
      </c>
    </row>
    <row r="10" spans="1:9" ht="14.5" x14ac:dyDescent="0.3">
      <c r="A10" s="2" t="s">
        <v>13</v>
      </c>
      <c r="B10" s="1" t="s">
        <v>12</v>
      </c>
      <c r="C10" s="1" t="s">
        <v>11</v>
      </c>
      <c r="D10" s="8" t="s">
        <v>22</v>
      </c>
      <c r="E10">
        <f>IF(F11&lt;90,F10/10,-F10/10)*F15</f>
        <v>0</v>
      </c>
      <c r="F10" s="13">
        <v>0</v>
      </c>
      <c r="G10">
        <f t="shared" si="0"/>
        <v>9.060105841248367</v>
      </c>
      <c r="H10">
        <f t="shared" si="1"/>
        <v>16.244884087738669</v>
      </c>
      <c r="I10">
        <v>0.9</v>
      </c>
    </row>
    <row r="11" spans="1:9" ht="14.5" x14ac:dyDescent="0.3">
      <c r="A11">
        <f>C2^2*(TAN(RADIANS(E11))*A6-B6)/(D2-E10*B$2*TAN(RADIANS(E11)))</f>
        <v>-0.24484122469715783</v>
      </c>
      <c r="B11">
        <f>IF(ISERROR(1-EXP(C2*C11)+C2*C11),0,1-EXP(C2*C11)+C2*C11)</f>
        <v>-0.24533440915775317</v>
      </c>
      <c r="C11">
        <v>2.4772636693075092</v>
      </c>
      <c r="D11" s="9" t="s">
        <v>34</v>
      </c>
      <c r="E11">
        <f>E19</f>
        <v>70</v>
      </c>
      <c r="F11" s="13">
        <v>70</v>
      </c>
      <c r="G11">
        <f t="shared" si="0"/>
        <v>9.9150195649032469</v>
      </c>
      <c r="H11">
        <f t="shared" si="1"/>
        <v>16.672982608471159</v>
      </c>
      <c r="I11">
        <v>1</v>
      </c>
    </row>
    <row r="12" spans="1:9" ht="14.5" x14ac:dyDescent="0.3">
      <c r="A12" s="2" t="s">
        <v>14</v>
      </c>
      <c r="D12" t="s">
        <v>73</v>
      </c>
      <c r="E12" t="s">
        <v>71</v>
      </c>
      <c r="F12" t="s">
        <v>72</v>
      </c>
      <c r="G12">
        <f t="shared" si="0"/>
        <v>10.743009133372839</v>
      </c>
      <c r="H12">
        <f t="shared" si="1"/>
        <v>16.856811140378085</v>
      </c>
      <c r="I12">
        <v>1.1000000000000001</v>
      </c>
    </row>
    <row r="13" spans="1:9" ht="14.5" x14ac:dyDescent="0.3">
      <c r="A13">
        <f>((C2^2*B6+D2*A11)^2+(C2^2*A6+E10*B2*A11)^2)^0.5/ABS(C2^2*C11-C2*A11)</f>
        <v>33.874866850834401</v>
      </c>
      <c r="D13" s="11" t="s">
        <v>25</v>
      </c>
      <c r="E13">
        <f>IF(A13*E2&lt;0.5,0,A13*E2)</f>
        <v>95.865873187861354</v>
      </c>
      <c r="G13">
        <f t="shared" si="0"/>
        <v>11.544922480328552</v>
      </c>
      <c r="H13">
        <f t="shared" si="1"/>
        <v>16.804062580303025</v>
      </c>
      <c r="I13">
        <v>1.2</v>
      </c>
    </row>
    <row r="14" spans="1:9" x14ac:dyDescent="0.3">
      <c r="G14">
        <f t="shared" si="0"/>
        <v>12.32158083511232</v>
      </c>
      <c r="H14">
        <f t="shared" si="1"/>
        <v>16.522187549474225</v>
      </c>
      <c r="I14">
        <v>1.3</v>
      </c>
    </row>
    <row r="15" spans="1:9" ht="14.5" x14ac:dyDescent="0.3">
      <c r="A15" t="s">
        <v>74</v>
      </c>
      <c r="B15" s="17" t="s">
        <v>75</v>
      </c>
      <c r="C15" s="27" t="s">
        <v>119</v>
      </c>
      <c r="D15" s="28"/>
      <c r="E15" s="22">
        <f>ATAN2(F8*F15,F9)/3.141592*180</f>
        <v>0</v>
      </c>
      <c r="F15">
        <f>IF(F11&gt;90,-1,1)</f>
        <v>1</v>
      </c>
      <c r="G15">
        <f t="shared" si="0"/>
        <v>13.073779563747198</v>
      </c>
      <c r="H15">
        <f t="shared" si="1"/>
        <v>16.018402023591904</v>
      </c>
      <c r="I15">
        <v>1.4</v>
      </c>
    </row>
    <row r="16" spans="1:9" ht="14.5" x14ac:dyDescent="0.3">
      <c r="A16" s="34" t="s">
        <v>33</v>
      </c>
      <c r="B16" s="34"/>
      <c r="C16" s="27" t="s">
        <v>120</v>
      </c>
      <c r="D16" s="28"/>
      <c r="E16">
        <f>IF(E15&lt;-90,E15+360,E15)</f>
        <v>0</v>
      </c>
      <c r="F16">
        <f>IF(E16&gt;90,INT(E16),INT(E16)+1)</f>
        <v>1</v>
      </c>
      <c r="G16">
        <f t="shared" si="0"/>
        <v>13.802288983461683</v>
      </c>
      <c r="H16">
        <f t="shared" si="1"/>
        <v>15.299694722617758</v>
      </c>
      <c r="I16">
        <v>1.5</v>
      </c>
    </row>
    <row r="17" spans="1:9" ht="14.5" x14ac:dyDescent="0.3">
      <c r="A17" s="31" t="s">
        <v>62</v>
      </c>
      <c r="B17" s="31"/>
      <c r="C17" s="27" t="s">
        <v>63</v>
      </c>
      <c r="D17" s="28"/>
      <c r="E17">
        <f>IF(F11&gt;90,IF(F11&gt;F16,(F16+90)/2,F11),IF(F11&lt;F16,(F16+90)/2,F11))</f>
        <v>70</v>
      </c>
      <c r="G17">
        <f t="shared" si="0"/>
        <v>14.507855151561859</v>
      </c>
      <c r="H17">
        <f t="shared" si="1"/>
        <v>14.37283426783506</v>
      </c>
      <c r="I17">
        <v>1.6</v>
      </c>
    </row>
    <row r="18" spans="1:9" ht="14.5" x14ac:dyDescent="0.3">
      <c r="C18" s="28" t="s">
        <v>65</v>
      </c>
      <c r="D18" s="28"/>
      <c r="E18">
        <f>IF(E17=F11,1,0)</f>
        <v>1</v>
      </c>
      <c r="F18">
        <f>IF(E17&gt;90,INT(E17),INT(E17)+1)</f>
        <v>71</v>
      </c>
      <c r="G18">
        <f t="shared" si="0"/>
        <v>15.191200629459276</v>
      </c>
      <c r="H18">
        <f t="shared" si="1"/>
        <v>13.244376113508139</v>
      </c>
      <c r="I18">
        <v>1.7</v>
      </c>
    </row>
    <row r="19" spans="1:9" ht="14.5" x14ac:dyDescent="0.3">
      <c r="C19" s="27" t="s">
        <v>64</v>
      </c>
      <c r="D19" s="28"/>
      <c r="E19" s="15">
        <f>IF(E18,IF(F11&gt;90,180-F11,F11),IF(F18&gt;90,180-F18,F18))</f>
        <v>70</v>
      </c>
      <c r="G19">
        <f t="shared" si="0"/>
        <v>15.85302522263698</v>
      </c>
      <c r="H19">
        <f t="shared" si="1"/>
        <v>11.920669260240771</v>
      </c>
      <c r="I19">
        <v>1.8</v>
      </c>
    </row>
    <row r="20" spans="1:9" x14ac:dyDescent="0.3">
      <c r="G20">
        <f t="shared" si="0"/>
        <v>16.494006697311473</v>
      </c>
      <c r="H20">
        <f t="shared" si="1"/>
        <v>10.407862756907093</v>
      </c>
      <c r="I20">
        <v>1.9</v>
      </c>
    </row>
    <row r="21" spans="1:9" ht="14.5" x14ac:dyDescent="0.3">
      <c r="A21" s="34" t="s">
        <v>35</v>
      </c>
      <c r="B21" s="34"/>
      <c r="C21" s="27" t="s">
        <v>36</v>
      </c>
      <c r="D21" s="28"/>
      <c r="E21">
        <v>0.77200000000000002</v>
      </c>
      <c r="G21">
        <f t="shared" si="0"/>
        <v>17.114801474524548</v>
      </c>
      <c r="H21">
        <f t="shared" si="1"/>
        <v>8.7119119978152924</v>
      </c>
      <c r="I21">
        <v>2</v>
      </c>
    </row>
    <row r="22" spans="1:9" ht="14.5" x14ac:dyDescent="0.3">
      <c r="C22" s="27" t="s">
        <v>41</v>
      </c>
      <c r="D22" s="28"/>
      <c r="E22">
        <v>99.75</v>
      </c>
      <c r="G22">
        <f t="shared" si="0"/>
        <v>17.7160453023758</v>
      </c>
      <c r="H22">
        <f t="shared" si="1"/>
        <v>6.8385848215518195</v>
      </c>
      <c r="I22">
        <v>2.1</v>
      </c>
    </row>
    <row r="23" spans="1:9" ht="14.5" x14ac:dyDescent="0.3">
      <c r="C23" s="27" t="s">
        <v>42</v>
      </c>
      <c r="D23" s="28"/>
      <c r="E23">
        <f>COS(RADIANS(E22))*E21</f>
        <v>-0.13073781697144701</v>
      </c>
      <c r="F23">
        <f>SIN(RADIANS(E22))*E21</f>
        <v>0.76084927759283605</v>
      </c>
      <c r="G23">
        <f t="shared" si="0"/>
        <v>18.298353907084234</v>
      </c>
      <c r="H23">
        <f t="shared" si="1"/>
        <v>4.7934674177519696</v>
      </c>
      <c r="I23">
        <v>2.2000000000000002</v>
      </c>
    </row>
    <row r="24" spans="1:9" ht="14.25" customHeight="1" x14ac:dyDescent="0.3">
      <c r="B24" s="17" t="s">
        <v>43</v>
      </c>
      <c r="C24" s="27" t="s">
        <v>37</v>
      </c>
      <c r="D24" s="28"/>
      <c r="E24">
        <v>28</v>
      </c>
      <c r="G24">
        <f t="shared" si="0"/>
        <v>18.862323623545702</v>
      </c>
      <c r="H24">
        <f t="shared" si="1"/>
        <v>2.5819700478461129</v>
      </c>
      <c r="I24">
        <v>2.2999999999999998</v>
      </c>
    </row>
    <row r="25" spans="1:9" ht="14.5" x14ac:dyDescent="0.3">
      <c r="C25" s="27" t="s">
        <v>39</v>
      </c>
      <c r="D25" s="28"/>
      <c r="E25">
        <v>0</v>
      </c>
      <c r="G25">
        <f t="shared" si="0"/>
        <v>19.408532006031979</v>
      </c>
      <c r="H25">
        <f t="shared" si="1"/>
        <v>0.20933258564068069</v>
      </c>
      <c r="I25">
        <v>2.4</v>
      </c>
    </row>
    <row r="26" spans="1:9" ht="14.5" x14ac:dyDescent="0.3">
      <c r="C26" s="27" t="s">
        <v>40</v>
      </c>
      <c r="D26" s="28"/>
      <c r="E26">
        <v>0</v>
      </c>
      <c r="G26">
        <f t="shared" si="0"/>
        <v>19.937538419656764</v>
      </c>
      <c r="H26">
        <f t="shared" si="1"/>
        <v>-2.3193701165938876</v>
      </c>
      <c r="I26">
        <v>2.5</v>
      </c>
    </row>
    <row r="27" spans="1:9" ht="14.5" x14ac:dyDescent="0.3">
      <c r="A27" t="s">
        <v>52</v>
      </c>
      <c r="B27" s="17" t="s">
        <v>44</v>
      </c>
      <c r="C27" s="27" t="s">
        <v>38</v>
      </c>
      <c r="D27" s="28"/>
      <c r="E27">
        <f>E26-E25</f>
        <v>0</v>
      </c>
      <c r="F27" s="16" t="s">
        <v>53</v>
      </c>
      <c r="G27">
        <f t="shared" si="0"/>
        <v>20.449884613214479</v>
      </c>
      <c r="H27">
        <f t="shared" si="1"/>
        <v>-4.9992230310303967</v>
      </c>
      <c r="I27">
        <v>2.6</v>
      </c>
    </row>
    <row r="28" spans="1:9" ht="14.5" x14ac:dyDescent="0.3">
      <c r="C28" s="35" t="s">
        <v>45</v>
      </c>
      <c r="D28" s="36"/>
      <c r="E28">
        <f>E27</f>
        <v>0</v>
      </c>
      <c r="G28">
        <f t="shared" si="0"/>
        <v>20.946095273978347</v>
      </c>
      <c r="H28">
        <f t="shared" si="1"/>
        <v>-7.825465920867174</v>
      </c>
      <c r="I28">
        <v>2.7</v>
      </c>
    </row>
    <row r="29" spans="1:9" x14ac:dyDescent="0.3">
      <c r="G29">
        <f t="shared" si="0"/>
        <v>21.426678565026023</v>
      </c>
      <c r="H29">
        <f t="shared" si="1"/>
        <v>-10.793488465429505</v>
      </c>
      <c r="I29">
        <v>2.8</v>
      </c>
    </row>
    <row r="30" spans="1:9" ht="14.5" x14ac:dyDescent="0.3">
      <c r="A30" s="33" t="s">
        <v>3</v>
      </c>
      <c r="B30" s="33"/>
      <c r="C30" s="33"/>
      <c r="D30" s="33"/>
      <c r="E30" s="20" t="s">
        <v>66</v>
      </c>
      <c r="F30" s="20">
        <f>INT(65+E10*2)+1</f>
        <v>66</v>
      </c>
      <c r="G30">
        <f t="shared" si="0"/>
        <v>21.892126645642982</v>
      </c>
      <c r="H30">
        <f t="shared" si="1"/>
        <v>-13.898825538798462</v>
      </c>
      <c r="I30">
        <v>2.9</v>
      </c>
    </row>
    <row r="31" spans="1:9" ht="14.25" customHeight="1" x14ac:dyDescent="0.3">
      <c r="A31" s="33" t="s">
        <v>4</v>
      </c>
      <c r="B31" s="33"/>
      <c r="C31" s="33"/>
      <c r="D31" s="33"/>
      <c r="E31" s="20" t="s">
        <v>67</v>
      </c>
      <c r="F31" s="20">
        <f>INT(115-E10*2)</f>
        <v>115</v>
      </c>
      <c r="G31">
        <f t="shared" si="0"/>
        <v>22.342916175336637</v>
      </c>
      <c r="H31">
        <f t="shared" si="1"/>
        <v>-17.13715263713172</v>
      </c>
      <c r="I31">
        <v>3</v>
      </c>
    </row>
    <row r="32" spans="1:9" ht="14.5" x14ac:dyDescent="0.3">
      <c r="A32" s="33" t="s">
        <v>5</v>
      </c>
      <c r="B32" s="33"/>
      <c r="C32" s="33"/>
      <c r="D32" s="33"/>
      <c r="E32" s="21" t="s">
        <v>68</v>
      </c>
      <c r="F32" s="20">
        <f>INT(90-E8+E10*2)+1</f>
        <v>71</v>
      </c>
      <c r="G32">
        <f t="shared" si="0"/>
        <v>22.779508801977325</v>
      </c>
      <c r="H32">
        <f t="shared" si="1"/>
        <v>-20.504281449993726</v>
      </c>
      <c r="I32">
        <v>3.1</v>
      </c>
    </row>
    <row r="33" spans="1:20" ht="14.5" x14ac:dyDescent="0.3">
      <c r="A33" s="32" t="s">
        <v>6</v>
      </c>
      <c r="B33" s="32"/>
      <c r="C33" s="32"/>
      <c r="D33" s="32"/>
      <c r="E33" s="21" t="s">
        <v>69</v>
      </c>
      <c r="F33" s="20">
        <f>INT(90+E8-E10*2)</f>
        <v>110</v>
      </c>
      <c r="G33">
        <f t="shared" si="0"/>
        <v>23.202351634566075</v>
      </c>
      <c r="H33">
        <f t="shared" si="1"/>
        <v>-23.996155571160017</v>
      </c>
      <c r="I33">
        <v>3.2</v>
      </c>
    </row>
    <row r="34" spans="1:20" ht="14.5" x14ac:dyDescent="0.3">
      <c r="A34" s="33" t="s">
        <v>8</v>
      </c>
      <c r="B34" s="33"/>
      <c r="C34" s="33"/>
      <c r="D34" s="33"/>
      <c r="F34" t="s">
        <v>116</v>
      </c>
      <c r="G34">
        <f t="shared" si="0"/>
        <v>23.611877701113297</v>
      </c>
      <c r="H34">
        <f t="shared" si="1"/>
        <v>-27.608846344502467</v>
      </c>
      <c r="I34">
        <v>3.3</v>
      </c>
    </row>
    <row r="35" spans="1:20" ht="14.5" x14ac:dyDescent="0.3">
      <c r="A35" s="32" t="s">
        <v>9</v>
      </c>
      <c r="B35" s="32"/>
      <c r="C35" s="32"/>
      <c r="D35" s="32"/>
      <c r="G35">
        <f t="shared" si="0"/>
        <v>24.008506392097278</v>
      </c>
      <c r="H35">
        <f t="shared" si="1"/>
        <v>-31.338548840702344</v>
      </c>
      <c r="I35">
        <v>3.4</v>
      </c>
    </row>
    <row r="36" spans="1:20" ht="14.5" x14ac:dyDescent="0.3">
      <c r="A36" s="32" t="s">
        <v>117</v>
      </c>
      <c r="B36" s="32"/>
      <c r="C36" s="32"/>
      <c r="D36" s="32"/>
      <c r="G36">
        <f t="shared" si="0"/>
        <v>24.392643889956723</v>
      </c>
      <c r="H36">
        <f t="shared" si="1"/>
        <v>-35.181577960669927</v>
      </c>
      <c r="I36">
        <v>3.5</v>
      </c>
    </row>
    <row r="37" spans="1:20" x14ac:dyDescent="0.3">
      <c r="G37">
        <f t="shared" si="0"/>
        <v>24.764683585057035</v>
      </c>
      <c r="H37">
        <f t="shared" si="1"/>
        <v>-39.134364661681531</v>
      </c>
      <c r="I37">
        <v>3.6</v>
      </c>
    </row>
    <row r="38" spans="1:20" ht="14.25" customHeight="1" x14ac:dyDescent="0.3">
      <c r="A38" s="29" t="s">
        <v>58</v>
      </c>
      <c r="B38" s="29"/>
      <c r="C38" s="29"/>
      <c r="D38" s="29"/>
      <c r="E38" s="29"/>
      <c r="F38" s="29"/>
      <c r="G38">
        <f t="shared" si="0"/>
        <v>25.125006478556415</v>
      </c>
      <c r="H38">
        <f t="shared" si="1"/>
        <v>-43.193452302367206</v>
      </c>
      <c r="I38">
        <v>3.7</v>
      </c>
    </row>
    <row r="39" spans="1:20" x14ac:dyDescent="0.3">
      <c r="A39" s="29"/>
      <c r="B39" s="29"/>
      <c r="C39" s="29"/>
      <c r="D39" s="29"/>
      <c r="E39" s="29"/>
      <c r="F39" s="29"/>
      <c r="G39">
        <f t="shared" si="0"/>
        <v>25.473981572584393</v>
      </c>
      <c r="H39">
        <f t="shared" si="1"/>
        <v>-47.355493102808481</v>
      </c>
      <c r="I39">
        <v>3.8</v>
      </c>
    </row>
    <row r="40" spans="1:20" x14ac:dyDescent="0.3">
      <c r="A40" s="29"/>
      <c r="B40" s="29"/>
      <c r="C40" s="29"/>
      <c r="D40" s="29"/>
      <c r="E40" s="29"/>
      <c r="F40" s="29"/>
      <c r="G40">
        <f t="shared" si="0"/>
        <v>25.81196624813219</v>
      </c>
      <c r="H40">
        <f t="shared" si="1"/>
        <v>-51.617244716118961</v>
      </c>
      <c r="I40">
        <v>3.9</v>
      </c>
    </row>
    <row r="41" spans="1:20" x14ac:dyDescent="0.3">
      <c r="A41" s="29"/>
      <c r="B41" s="29"/>
      <c r="C41" s="29"/>
      <c r="D41" s="29"/>
      <c r="E41" s="29"/>
      <c r="F41" s="29"/>
      <c r="G41">
        <f t="shared" si="0"/>
        <v>26.139306631042135</v>
      </c>
      <c r="H41">
        <f t="shared" si="1"/>
        <v>-55.975566907997631</v>
      </c>
      <c r="I41">
        <v>4</v>
      </c>
    </row>
    <row r="42" spans="1:20" x14ac:dyDescent="0.3">
      <c r="A42" s="29"/>
      <c r="B42" s="29"/>
      <c r="C42" s="29"/>
      <c r="D42" s="29"/>
      <c r="E42" s="29"/>
      <c r="F42" s="29"/>
      <c r="G42">
        <f t="shared" si="0"/>
        <v>26.456337946470747</v>
      </c>
      <c r="H42">
        <f t="shared" si="1"/>
        <v>-60.427418340854871</v>
      </c>
      <c r="I42">
        <v>4.0999999999999996</v>
      </c>
    </row>
    <row r="43" spans="1:20" ht="14.25" customHeight="1" x14ac:dyDescent="0.3">
      <c r="A43" s="29"/>
      <c r="B43" s="29"/>
      <c r="C43" s="29"/>
      <c r="D43" s="29"/>
      <c r="E43" s="29"/>
      <c r="F43" s="29"/>
      <c r="G43">
        <f t="shared" si="0"/>
        <v>26.763384862188584</v>
      </c>
      <c r="H43">
        <f t="shared" si="1"/>
        <v>-64.969853459216665</v>
      </c>
      <c r="I43">
        <v>4.2</v>
      </c>
      <c r="J43" s="29" t="s">
        <v>50</v>
      </c>
      <c r="K43" s="29"/>
      <c r="L43" s="29"/>
      <c r="M43" s="29"/>
      <c r="N43" s="29"/>
      <c r="O43" s="29"/>
      <c r="P43" s="29"/>
      <c r="Q43" s="29"/>
      <c r="R43" s="29"/>
      <c r="S43" s="29"/>
      <c r="T43" s="29"/>
    </row>
    <row r="44" spans="1:20" x14ac:dyDescent="0.3">
      <c r="A44" s="29"/>
      <c r="B44" s="29"/>
      <c r="C44" s="29"/>
      <c r="D44" s="29"/>
      <c r="E44" s="29"/>
      <c r="F44" s="29"/>
      <c r="G44">
        <f t="shared" si="0"/>
        <v>27.060761821068425</v>
      </c>
      <c r="H44">
        <f t="shared" si="1"/>
        <v>-69.600019473218623</v>
      </c>
      <c r="I44">
        <v>4.3</v>
      </c>
      <c r="J44" s="29"/>
      <c r="K44" s="29"/>
      <c r="L44" s="29"/>
      <c r="M44" s="29"/>
      <c r="N44" s="29"/>
      <c r="O44" s="29"/>
      <c r="P44" s="29"/>
      <c r="Q44" s="29"/>
      <c r="R44" s="29"/>
      <c r="S44" s="29"/>
      <c r="T44" s="29"/>
    </row>
    <row r="45" spans="1:20" x14ac:dyDescent="0.3">
      <c r="A45" s="29"/>
      <c r="B45" s="29"/>
      <c r="C45" s="29"/>
      <c r="D45" s="29"/>
      <c r="E45" s="29"/>
      <c r="F45" s="29"/>
      <c r="G45">
        <f t="shared" si="0"/>
        <v>27.348773363102239</v>
      </c>
      <c r="H45">
        <f t="shared" si="1"/>
        <v>-74.315153437099838</v>
      </c>
      <c r="I45">
        <v>4.4000000000000004</v>
      </c>
      <c r="J45" s="29"/>
      <c r="K45" s="29"/>
      <c r="L45" s="29"/>
      <c r="M45" s="29"/>
      <c r="N45" s="29"/>
      <c r="O45" s="29"/>
      <c r="P45" s="29"/>
      <c r="Q45" s="29"/>
      <c r="R45" s="29"/>
      <c r="S45" s="29"/>
      <c r="T45" s="29"/>
    </row>
    <row r="46" spans="1:20" x14ac:dyDescent="0.3">
      <c r="A46" s="29"/>
      <c r="B46" s="29"/>
      <c r="C46" s="29"/>
      <c r="D46" s="29"/>
      <c r="E46" s="29"/>
      <c r="F46" s="29"/>
      <c r="G46">
        <f t="shared" si="0"/>
        <v>27.627714437276772</v>
      </c>
      <c r="H46">
        <f t="shared" si="1"/>
        <v>-79.1125794197049</v>
      </c>
      <c r="I46">
        <v>4.5</v>
      </c>
      <c r="J46" s="29"/>
      <c r="K46" s="29"/>
      <c r="L46" s="29"/>
      <c r="M46" s="29"/>
      <c r="N46" s="29"/>
      <c r="O46" s="29"/>
      <c r="P46" s="29"/>
      <c r="Q46" s="29"/>
      <c r="R46" s="29"/>
      <c r="S46" s="29"/>
      <c r="T46" s="29"/>
    </row>
    <row r="47" spans="1:20" x14ac:dyDescent="0.3">
      <c r="A47" s="29"/>
      <c r="B47" s="29"/>
      <c r="C47" s="29"/>
      <c r="D47" s="29"/>
      <c r="E47" s="29"/>
      <c r="F47" s="29"/>
      <c r="G47">
        <f t="shared" si="0"/>
        <v>27.897870703627053</v>
      </c>
      <c r="H47">
        <f t="shared" si="1"/>
        <v>-83.989705764096442</v>
      </c>
      <c r="I47">
        <v>4.5999999999999996</v>
      </c>
      <c r="J47" s="29"/>
      <c r="K47" s="29"/>
      <c r="L47" s="29"/>
      <c r="M47" s="29"/>
      <c r="N47" s="29"/>
      <c r="O47" s="29"/>
      <c r="P47" s="29"/>
      <c r="Q47" s="29"/>
      <c r="R47" s="29"/>
      <c r="S47" s="29"/>
      <c r="T47" s="29"/>
    </row>
    <row r="48" spans="1:20" x14ac:dyDescent="0.3">
      <c r="A48" s="29"/>
      <c r="B48" s="29"/>
      <c r="C48" s="29"/>
      <c r="D48" s="29"/>
      <c r="E48" s="29"/>
      <c r="F48" s="29"/>
      <c r="G48">
        <f t="shared" si="0"/>
        <v>28.159518825777234</v>
      </c>
      <c r="H48">
        <f t="shared" si="1"/>
        <v>-88.944022433472441</v>
      </c>
      <c r="I48">
        <v>4.7</v>
      </c>
      <c r="J48" s="29"/>
      <c r="K48" s="29"/>
      <c r="L48" s="29"/>
      <c r="M48" s="29"/>
      <c r="N48" s="29"/>
      <c r="O48" s="29"/>
      <c r="P48" s="29"/>
      <c r="Q48" s="29"/>
      <c r="R48" s="29"/>
      <c r="S48" s="29"/>
      <c r="T48" s="29"/>
    </row>
    <row r="49" spans="1:21" ht="14.25" customHeight="1" x14ac:dyDescent="0.3">
      <c r="A49" s="29"/>
      <c r="B49" s="29"/>
      <c r="C49" s="29"/>
      <c r="D49" s="29"/>
      <c r="E49" s="29"/>
      <c r="F49" s="29"/>
      <c r="G49">
        <f t="shared" si="0"/>
        <v>28.412926754268351</v>
      </c>
      <c r="H49">
        <f t="shared" si="1"/>
        <v>-93.97309844066865</v>
      </c>
      <c r="I49">
        <v>4.8</v>
      </c>
      <c r="J49" s="29"/>
      <c r="K49" s="29"/>
      <c r="L49" s="29"/>
      <c r="M49" s="29"/>
      <c r="N49" s="29"/>
      <c r="O49" s="29"/>
      <c r="P49" s="29"/>
      <c r="Q49" s="29"/>
      <c r="R49" s="29"/>
      <c r="S49" s="29"/>
      <c r="T49" s="29"/>
    </row>
    <row r="50" spans="1:21" x14ac:dyDescent="0.3">
      <c r="A50" s="29"/>
      <c r="B50" s="29"/>
      <c r="C50" s="29"/>
      <c r="D50" s="29"/>
      <c r="E50" s="29"/>
      <c r="F50" s="29"/>
      <c r="G50">
        <f t="shared" si="0"/>
        <v>28.658354000963048</v>
      </c>
      <c r="H50">
        <f t="shared" si="1"/>
        <v>-99.074579358615665</v>
      </c>
      <c r="I50">
        <v>4.9000000000000004</v>
      </c>
      <c r="J50" s="18"/>
      <c r="K50" s="18"/>
      <c r="L50" s="18"/>
      <c r="M50" s="18"/>
      <c r="N50" s="18"/>
      <c r="O50" s="18"/>
      <c r="P50" s="18"/>
      <c r="Q50" s="18"/>
      <c r="R50" s="18"/>
      <c r="S50" s="18"/>
      <c r="T50" s="18"/>
    </row>
    <row r="51" spans="1:21" x14ac:dyDescent="0.3">
      <c r="G51">
        <f t="shared" si="0"/>
        <v>28.896051904808445</v>
      </c>
      <c r="H51">
        <f t="shared" si="1"/>
        <v>-104.2461849091996</v>
      </c>
      <c r="I51">
        <v>5</v>
      </c>
      <c r="J51" s="18"/>
      <c r="K51" s="18"/>
      <c r="L51" s="18"/>
      <c r="M51" s="18"/>
      <c r="N51" s="18"/>
      <c r="O51" s="18"/>
      <c r="P51" s="18"/>
      <c r="Q51" s="18"/>
      <c r="R51" s="18"/>
      <c r="S51" s="18"/>
      <c r="T51" s="18"/>
    </row>
    <row r="52" spans="1:21" x14ac:dyDescent="0.3">
      <c r="A52" s="30" t="s">
        <v>28</v>
      </c>
      <c r="B52" s="30"/>
      <c r="C52" s="30"/>
      <c r="D52" s="30"/>
      <c r="E52" s="30"/>
      <c r="F52" s="30"/>
      <c r="G52">
        <f t="shared" si="0"/>
        <v>29.126263889229129</v>
      </c>
      <c r="H52">
        <f t="shared" si="1"/>
        <v>-109.48570662805838</v>
      </c>
      <c r="I52">
        <v>5.0999999999999996</v>
      </c>
      <c r="J52" s="18"/>
      <c r="K52" s="18"/>
      <c r="L52" s="18"/>
      <c r="M52" s="18"/>
      <c r="N52" s="18"/>
      <c r="O52" s="18"/>
      <c r="P52" s="18"/>
      <c r="Q52" s="18"/>
      <c r="R52" s="18"/>
      <c r="S52" s="18"/>
      <c r="T52" s="18"/>
    </row>
    <row r="53" spans="1:21" x14ac:dyDescent="0.3">
      <c r="A53" s="30"/>
      <c r="B53" s="30"/>
      <c r="C53" s="30"/>
      <c r="D53" s="30"/>
      <c r="E53" s="30"/>
      <c r="F53" s="30"/>
      <c r="G53">
        <f t="shared" si="0"/>
        <v>29.349225711414089</v>
      </c>
      <c r="H53">
        <f t="shared" si="1"/>
        <v>-114.79100560292085</v>
      </c>
      <c r="I53">
        <v>5.2</v>
      </c>
    </row>
    <row r="54" spans="1:21" x14ac:dyDescent="0.3">
      <c r="A54" s="30"/>
      <c r="B54" s="30"/>
      <c r="C54" s="30"/>
      <c r="D54" s="30"/>
      <c r="E54" s="30"/>
      <c r="F54" s="30"/>
    </row>
    <row r="55" spans="1:21" x14ac:dyDescent="0.3">
      <c r="A55" s="30" t="s">
        <v>48</v>
      </c>
      <c r="B55" s="30"/>
      <c r="C55" s="30"/>
      <c r="D55" s="30"/>
      <c r="E55" s="30"/>
      <c r="F55" s="30"/>
      <c r="G55" s="30"/>
      <c r="H55" s="30"/>
    </row>
    <row r="56" spans="1:21" x14ac:dyDescent="0.3">
      <c r="A56" s="30"/>
      <c r="B56" s="30"/>
      <c r="C56" s="30"/>
      <c r="D56" s="30"/>
      <c r="E56" s="30"/>
      <c r="F56" s="30"/>
      <c r="G56" s="30"/>
      <c r="H56" s="30"/>
      <c r="J56">
        <v>13.4</v>
      </c>
      <c r="K56">
        <v>13.4</v>
      </c>
      <c r="L56">
        <v>13.4</v>
      </c>
      <c r="M56">
        <v>13.5</v>
      </c>
      <c r="N56">
        <v>13.5</v>
      </c>
      <c r="O56">
        <v>13.7</v>
      </c>
      <c r="P56">
        <v>13.7</v>
      </c>
      <c r="Q56">
        <v>1.3</v>
      </c>
      <c r="R56">
        <v>6.4</v>
      </c>
      <c r="S56">
        <v>6.6</v>
      </c>
      <c r="T56">
        <v>6.2</v>
      </c>
      <c r="U56">
        <v>17.2</v>
      </c>
    </row>
    <row r="57" spans="1:21" x14ac:dyDescent="0.3">
      <c r="A57" s="30"/>
      <c r="B57" s="30"/>
      <c r="C57" s="30"/>
      <c r="D57" s="30"/>
      <c r="E57" s="30"/>
      <c r="F57" s="30"/>
      <c r="G57" s="30"/>
      <c r="H57" s="30"/>
      <c r="J57">
        <v>3.4</v>
      </c>
      <c r="K57">
        <v>3.4</v>
      </c>
      <c r="L57">
        <v>3.4</v>
      </c>
      <c r="M57">
        <v>3.2</v>
      </c>
      <c r="N57">
        <v>3.2</v>
      </c>
      <c r="O57">
        <v>-5.4</v>
      </c>
      <c r="P57">
        <v>-5.4</v>
      </c>
      <c r="Q57">
        <v>0.7</v>
      </c>
      <c r="R57">
        <v>-0.9</v>
      </c>
      <c r="S57">
        <v>-1.3</v>
      </c>
      <c r="T57">
        <v>-0.4</v>
      </c>
      <c r="U57">
        <v>-3.2</v>
      </c>
    </row>
    <row r="58" spans="1:21" x14ac:dyDescent="0.3">
      <c r="A58" s="30"/>
      <c r="B58" s="30"/>
      <c r="C58" s="30"/>
      <c r="D58" s="30"/>
      <c r="E58" s="30"/>
      <c r="F58" s="30"/>
      <c r="G58" s="30"/>
      <c r="H58" s="30"/>
      <c r="J58">
        <v>1.5</v>
      </c>
      <c r="K58">
        <v>2.1</v>
      </c>
      <c r="L58">
        <v>2.1</v>
      </c>
      <c r="M58">
        <v>1.8</v>
      </c>
      <c r="N58">
        <v>0.9</v>
      </c>
      <c r="O58">
        <v>-0.2</v>
      </c>
      <c r="P58">
        <v>2.2000000000000002</v>
      </c>
      <c r="Q58">
        <v>2.1</v>
      </c>
      <c r="R58">
        <v>0.9</v>
      </c>
      <c r="S58">
        <v>0.5</v>
      </c>
      <c r="T58">
        <v>0.5</v>
      </c>
      <c r="U58">
        <v>0.4</v>
      </c>
    </row>
    <row r="59" spans="1:21" x14ac:dyDescent="0.3">
      <c r="A59" s="30"/>
      <c r="B59" s="30"/>
      <c r="C59" s="30"/>
      <c r="D59" s="30"/>
      <c r="E59" s="30"/>
      <c r="F59" s="30"/>
      <c r="G59" s="30"/>
      <c r="H59" s="30"/>
      <c r="J59">
        <v>69</v>
      </c>
      <c r="K59">
        <v>76</v>
      </c>
      <c r="L59">
        <v>63</v>
      </c>
      <c r="M59">
        <v>78</v>
      </c>
      <c r="N59">
        <v>78</v>
      </c>
      <c r="O59">
        <v>69</v>
      </c>
      <c r="P59">
        <v>63</v>
      </c>
      <c r="Q59">
        <v>81</v>
      </c>
      <c r="R59">
        <v>57</v>
      </c>
      <c r="S59">
        <v>65</v>
      </c>
      <c r="T59">
        <v>80</v>
      </c>
      <c r="U59">
        <v>55</v>
      </c>
    </row>
    <row r="60" spans="1:21" x14ac:dyDescent="0.3">
      <c r="A60" s="30"/>
      <c r="B60" s="30"/>
      <c r="C60" s="30"/>
      <c r="D60" s="30"/>
      <c r="E60" s="30"/>
      <c r="F60" s="30"/>
      <c r="G60" s="30"/>
      <c r="H60" s="30"/>
      <c r="J60">
        <v>73</v>
      </c>
      <c r="K60">
        <v>84</v>
      </c>
      <c r="L60">
        <v>66</v>
      </c>
      <c r="M60">
        <v>92</v>
      </c>
      <c r="N60">
        <v>98</v>
      </c>
      <c r="O60">
        <v>73</v>
      </c>
      <c r="P60">
        <v>56</v>
      </c>
      <c r="Q60">
        <v>27</v>
      </c>
      <c r="R60">
        <v>37</v>
      </c>
      <c r="S60">
        <v>43</v>
      </c>
      <c r="T60">
        <v>68</v>
      </c>
      <c r="U60">
        <v>65</v>
      </c>
    </row>
    <row r="61" spans="1:21" x14ac:dyDescent="0.3">
      <c r="A61" s="30"/>
      <c r="B61" s="30"/>
      <c r="C61" s="30"/>
      <c r="D61" s="30"/>
      <c r="E61" s="30"/>
      <c r="F61" s="30"/>
      <c r="G61" s="30"/>
      <c r="H61" s="30"/>
      <c r="J61">
        <v>70.55</v>
      </c>
      <c r="K61">
        <v>79.63</v>
      </c>
      <c r="L61">
        <v>63.65</v>
      </c>
      <c r="M61">
        <v>86.6</v>
      </c>
      <c r="N61">
        <v>93.2</v>
      </c>
      <c r="O61">
        <v>71.02</v>
      </c>
      <c r="P61">
        <v>53.04</v>
      </c>
      <c r="Q61">
        <v>25.91</v>
      </c>
      <c r="R61">
        <v>36.53</v>
      </c>
      <c r="S61">
        <v>41.28</v>
      </c>
      <c r="T61">
        <v>64.62</v>
      </c>
      <c r="U61">
        <v>62.9</v>
      </c>
    </row>
    <row r="62" spans="1:21" x14ac:dyDescent="0.3">
      <c r="A62" s="30"/>
      <c r="B62" s="30"/>
      <c r="C62" s="30"/>
      <c r="D62" s="30"/>
      <c r="E62" s="30"/>
      <c r="F62" s="30"/>
      <c r="G62" s="30"/>
      <c r="H62" s="30"/>
    </row>
    <row r="64" spans="1:21" ht="14.25" customHeight="1" x14ac:dyDescent="0.3">
      <c r="A64" s="30" t="s">
        <v>59</v>
      </c>
      <c r="B64" s="30"/>
      <c r="C64" s="30"/>
      <c r="D64" s="30"/>
      <c r="E64" s="30"/>
      <c r="F64" s="30"/>
      <c r="G64" s="30"/>
      <c r="H64" s="30"/>
    </row>
    <row r="65" spans="1:8" x14ac:dyDescent="0.3">
      <c r="A65" s="30"/>
      <c r="B65" s="30"/>
      <c r="C65" s="30"/>
      <c r="D65" s="30"/>
      <c r="E65" s="30"/>
      <c r="F65" s="30"/>
      <c r="G65" s="30"/>
      <c r="H65" s="30"/>
    </row>
    <row r="66" spans="1:8" x14ac:dyDescent="0.3">
      <c r="A66" s="30"/>
      <c r="B66" s="30"/>
      <c r="C66" s="30"/>
      <c r="D66" s="30"/>
      <c r="E66" s="30"/>
      <c r="F66" s="30"/>
      <c r="G66" s="30"/>
      <c r="H66" s="30"/>
    </row>
    <row r="67" spans="1:8" x14ac:dyDescent="0.3">
      <c r="A67" s="30"/>
      <c r="B67" s="30"/>
      <c r="C67" s="30"/>
      <c r="D67" s="30"/>
      <c r="E67" s="30"/>
      <c r="F67" s="30"/>
      <c r="G67" s="30"/>
      <c r="H67" s="30"/>
    </row>
    <row r="68" spans="1:8" x14ac:dyDescent="0.3">
      <c r="A68" s="30"/>
      <c r="B68" s="30"/>
      <c r="C68" s="30"/>
      <c r="D68" s="30"/>
      <c r="E68" s="30"/>
      <c r="F68" s="30"/>
      <c r="G68" s="30"/>
      <c r="H68" s="30"/>
    </row>
    <row r="70" spans="1:8" ht="14.25" customHeight="1" x14ac:dyDescent="0.3">
      <c r="A70" s="30" t="s">
        <v>61</v>
      </c>
      <c r="B70" s="30"/>
      <c r="C70" s="30"/>
      <c r="D70" s="30"/>
      <c r="E70" s="30"/>
      <c r="F70" s="30"/>
      <c r="G70" s="30"/>
      <c r="H70" s="30"/>
    </row>
    <row r="71" spans="1:8" x14ac:dyDescent="0.3">
      <c r="A71" s="30"/>
      <c r="B71" s="30"/>
      <c r="C71" s="30"/>
      <c r="D71" s="30"/>
      <c r="E71" s="30"/>
      <c r="F71" s="30"/>
      <c r="G71" s="30"/>
      <c r="H71" s="30"/>
    </row>
    <row r="72" spans="1:8" x14ac:dyDescent="0.3">
      <c r="A72" s="30"/>
      <c r="B72" s="30"/>
      <c r="C72" s="30"/>
      <c r="D72" s="30"/>
      <c r="E72" s="30"/>
      <c r="F72" s="30"/>
      <c r="G72" s="30"/>
      <c r="H72" s="30"/>
    </row>
    <row r="73" spans="1:8" x14ac:dyDescent="0.3">
      <c r="A73" s="30"/>
      <c r="B73" s="30"/>
      <c r="C73" s="30"/>
      <c r="D73" s="30"/>
      <c r="E73" s="30"/>
      <c r="F73" s="30"/>
      <c r="G73" s="30"/>
      <c r="H73" s="30"/>
    </row>
    <row r="74" spans="1:8" ht="14.25" customHeight="1" x14ac:dyDescent="0.3">
      <c r="A74" s="30"/>
      <c r="B74" s="30"/>
      <c r="C74" s="30"/>
      <c r="D74" s="30"/>
      <c r="E74" s="30"/>
      <c r="F74" s="30"/>
      <c r="G74" s="30"/>
      <c r="H74" s="30"/>
    </row>
    <row r="75" spans="1:8" x14ac:dyDescent="0.3">
      <c r="A75" s="30"/>
      <c r="B75" s="30"/>
      <c r="C75" s="30"/>
      <c r="D75" s="30"/>
      <c r="E75" s="30"/>
      <c r="F75" s="30"/>
      <c r="G75" s="30"/>
      <c r="H75" s="30"/>
    </row>
    <row r="76" spans="1:8" x14ac:dyDescent="0.3">
      <c r="A76" s="30"/>
      <c r="B76" s="30"/>
      <c r="C76" s="30"/>
      <c r="D76" s="30"/>
      <c r="E76" s="30"/>
      <c r="F76" s="30"/>
      <c r="G76" s="30"/>
      <c r="H76" s="30"/>
    </row>
    <row r="78" spans="1:8" ht="14.25" customHeight="1" x14ac:dyDescent="0.3">
      <c r="A78" s="29" t="s">
        <v>70</v>
      </c>
      <c r="B78" s="29"/>
      <c r="C78" s="29"/>
      <c r="D78" s="29"/>
      <c r="E78" s="29"/>
      <c r="F78" s="29"/>
      <c r="G78" s="29"/>
      <c r="H78" s="29"/>
    </row>
    <row r="79" spans="1:8" x14ac:dyDescent="0.3">
      <c r="A79" s="29"/>
      <c r="B79" s="29"/>
      <c r="C79" s="29"/>
      <c r="D79" s="29"/>
      <c r="E79" s="29"/>
      <c r="F79" s="29"/>
      <c r="G79" s="29"/>
      <c r="H79" s="29"/>
    </row>
    <row r="80" spans="1:8" x14ac:dyDescent="0.3">
      <c r="A80" s="29"/>
      <c r="B80" s="29"/>
      <c r="C80" s="29"/>
      <c r="D80" s="29"/>
      <c r="E80" s="29"/>
      <c r="F80" s="29"/>
      <c r="G80" s="29"/>
      <c r="H80" s="29"/>
    </row>
    <row r="81" spans="1:8" x14ac:dyDescent="0.3">
      <c r="A81" s="29"/>
      <c r="B81" s="29"/>
      <c r="C81" s="29"/>
      <c r="D81" s="29"/>
      <c r="E81" s="29"/>
      <c r="F81" s="29"/>
      <c r="G81" s="29"/>
      <c r="H81" s="29"/>
    </row>
    <row r="82" spans="1:8" x14ac:dyDescent="0.3">
      <c r="A82" s="29"/>
      <c r="B82" s="29"/>
      <c r="C82" s="29"/>
      <c r="D82" s="29"/>
      <c r="E82" s="29"/>
      <c r="F82" s="29"/>
      <c r="G82" s="29"/>
      <c r="H82" s="29"/>
    </row>
    <row r="83" spans="1:8" x14ac:dyDescent="0.3">
      <c r="A83" s="29"/>
      <c r="B83" s="29"/>
      <c r="C83" s="29"/>
      <c r="D83" s="29"/>
      <c r="E83" s="29"/>
      <c r="F83" s="29"/>
      <c r="G83" s="29"/>
      <c r="H83" s="29"/>
    </row>
    <row r="84" spans="1:8" x14ac:dyDescent="0.3">
      <c r="A84" s="29"/>
      <c r="B84" s="29"/>
      <c r="C84" s="29"/>
      <c r="D84" s="29"/>
      <c r="E84" s="29"/>
      <c r="F84" s="29"/>
      <c r="G84" s="29"/>
      <c r="H84" s="29"/>
    </row>
  </sheetData>
  <dataConsolidate/>
  <mergeCells count="30">
    <mergeCell ref="A70:H76"/>
    <mergeCell ref="A78:H84"/>
    <mergeCell ref="A64:H68"/>
    <mergeCell ref="A35:D35"/>
    <mergeCell ref="A34:D34"/>
    <mergeCell ref="A33:D33"/>
    <mergeCell ref="A21:B21"/>
    <mergeCell ref="C28:D28"/>
    <mergeCell ref="C21:D21"/>
    <mergeCell ref="A16:B16"/>
    <mergeCell ref="C16:D16"/>
    <mergeCell ref="C19:D19"/>
    <mergeCell ref="C17:D17"/>
    <mergeCell ref="A30:D30"/>
    <mergeCell ref="C15:D15"/>
    <mergeCell ref="C18:D18"/>
    <mergeCell ref="C24:D24"/>
    <mergeCell ref="J43:T49"/>
    <mergeCell ref="A55:H62"/>
    <mergeCell ref="A17:B17"/>
    <mergeCell ref="A52:F54"/>
    <mergeCell ref="C26:D26"/>
    <mergeCell ref="C25:D25"/>
    <mergeCell ref="C22:D22"/>
    <mergeCell ref="C23:D23"/>
    <mergeCell ref="A36:D36"/>
    <mergeCell ref="A38:F50"/>
    <mergeCell ref="C27:D27"/>
    <mergeCell ref="A31:D31"/>
    <mergeCell ref="A32:D32"/>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X92"/>
  <sheetViews>
    <sheetView tabSelected="1" zoomScaleNormal="100" workbookViewId="0">
      <selection activeCell="A15" sqref="A15:F19"/>
    </sheetView>
  </sheetViews>
  <sheetFormatPr defaultRowHeight="14" x14ac:dyDescent="0.3"/>
  <sheetData>
    <row r="1" spans="1:50" ht="14.5" x14ac:dyDescent="0.3">
      <c r="A1" s="6" t="s">
        <v>115</v>
      </c>
      <c r="B1" s="3" t="s">
        <v>114</v>
      </c>
      <c r="C1" s="4" t="s">
        <v>113</v>
      </c>
      <c r="D1" s="4" t="s">
        <v>112</v>
      </c>
      <c r="E1" s="3" t="s">
        <v>111</v>
      </c>
      <c r="G1" t="s">
        <v>1</v>
      </c>
      <c r="H1" t="s">
        <v>2</v>
      </c>
      <c r="I1" t="s">
        <v>0</v>
      </c>
      <c r="U1" s="14" t="s">
        <v>31</v>
      </c>
      <c r="W1" s="2" t="s">
        <v>13</v>
      </c>
      <c r="X1" s="1" t="s">
        <v>11</v>
      </c>
      <c r="Y1" s="2" t="s">
        <v>14</v>
      </c>
      <c r="Z1" s="11" t="s">
        <v>25</v>
      </c>
      <c r="AA1" s="23">
        <v>30</v>
      </c>
      <c r="AB1" t="s">
        <v>122</v>
      </c>
      <c r="AC1" t="s">
        <v>123</v>
      </c>
      <c r="AE1" s="14" t="s">
        <v>31</v>
      </c>
      <c r="AG1" s="2" t="s">
        <v>13</v>
      </c>
      <c r="AH1" s="1" t="s">
        <v>11</v>
      </c>
      <c r="AI1" s="2" t="s">
        <v>14</v>
      </c>
      <c r="AJ1" s="11" t="s">
        <v>25</v>
      </c>
      <c r="AK1" s="23">
        <v>20</v>
      </c>
      <c r="AL1" t="s">
        <v>122</v>
      </c>
      <c r="AM1" t="s">
        <v>123</v>
      </c>
      <c r="AP1" s="14" t="s">
        <v>31</v>
      </c>
      <c r="AR1" s="2" t="s">
        <v>13</v>
      </c>
      <c r="AS1" s="1" t="s">
        <v>11</v>
      </c>
      <c r="AT1" s="2" t="s">
        <v>14</v>
      </c>
      <c r="AU1" s="11" t="s">
        <v>25</v>
      </c>
      <c r="AV1" s="24" t="s">
        <v>68</v>
      </c>
      <c r="AW1" t="s">
        <v>122</v>
      </c>
      <c r="AX1" t="s">
        <v>123</v>
      </c>
    </row>
    <row r="2" spans="1:50" x14ac:dyDescent="0.3">
      <c r="A2">
        <v>0</v>
      </c>
      <c r="B2">
        <v>0.24</v>
      </c>
      <c r="C2">
        <v>-0.2</v>
      </c>
      <c r="D2">
        <v>-7</v>
      </c>
      <c r="E2">
        <v>5</v>
      </c>
      <c r="G2">
        <f>(EXP(C$2*I2)-1)*(B$4+E$10*B$2/C$2)/C$2-E$10*B$2/C$2*I2+$A$8</f>
        <v>0.3206648160697535</v>
      </c>
      <c r="H2">
        <f>(EXP(C$2*I2)-1)*(A$4+D$2/C$2)/C$2-D$2/C$2*I2+$B$8</f>
        <v>0.2220556526625419</v>
      </c>
      <c r="I2">
        <v>1.4999999999999999E-2</v>
      </c>
      <c r="U2">
        <f t="shared" ref="U2:U21" si="0">ABS(V2-$A$8-COS(RADIANS(AA$1))*$A$2*$E$6)</f>
        <v>0.69933819106543926</v>
      </c>
      <c r="V2" s="25">
        <v>1</v>
      </c>
      <c r="W2">
        <f t="shared" ref="W2:W21" si="1">$C$2^2*(TAN(RADIANS(AA$1))*U2-$B$6)/($D$2-$E$10*$B$2*TAN(RADIANS($AA$1)))</f>
        <v>-3.4443817314456053E-3</v>
      </c>
      <c r="X2" cm="1">
        <f t="array" ref="X2">SolveT_Newton(W2,$C$2)</f>
        <v>0.42081380557374992</v>
      </c>
      <c r="Y2">
        <f t="shared" ref="Y2:Y21" si="2">(($C$2^2*$B$6+$D$2*W2)^2+($C$2^2*U2+$E$10*$B$2*W2)^2)^0.5/ABS($C$2^2*X2-$C$2*W2)</f>
        <v>2.0008483616792274</v>
      </c>
      <c r="Z2">
        <f>Y2*$E$2</f>
        <v>10.004241808396138</v>
      </c>
      <c r="AA2" s="5">
        <v>14</v>
      </c>
      <c r="AB2">
        <f>AA2-Z2</f>
        <v>3.995758191603862</v>
      </c>
      <c r="AC2">
        <f>AB2/AA2*100</f>
        <v>28.541129940027588</v>
      </c>
      <c r="AE2">
        <f t="shared" ref="AE2:AE21" si="3">ABS(AF2-$A$8-COS(RADIANS(AK$1))*$A$2*$E$6)</f>
        <v>0.69933819106543926</v>
      </c>
      <c r="AF2" s="25">
        <v>1</v>
      </c>
      <c r="AG2">
        <f t="shared" ref="AG2:AG21" si="4">$C$2^2*(TAN(RADIANS(AK$1))*AE2-$B$6)/($D$2-$E$10*$B$2*TAN(RADIANS($AA$1)))</f>
        <v>-2.5916685449723074E-3</v>
      </c>
      <c r="AH2" cm="1">
        <f t="array" ref="AH2">SolveT_Newton(AG2,$C$2)</f>
        <v>0.36434875891873331</v>
      </c>
      <c r="AI2">
        <f t="shared" ref="AI2:AI21" si="5">(($C$2^2*$B$6+$D$2*AG2)^2+($C$2^2*AE2+$E$10*$B$2*AG2)^2)^0.5/ABS($C$2^2*AH2-$C$2*AG2)</f>
        <v>2.1179295850935964</v>
      </c>
      <c r="AJ2">
        <f>AI2*$E$2</f>
        <v>10.589647925467983</v>
      </c>
      <c r="AK2" s="5">
        <v>10</v>
      </c>
      <c r="AL2">
        <f>AK2-AJ2</f>
        <v>-0.5896479254679825</v>
      </c>
      <c r="AM2">
        <f>AL2/AK2*100</f>
        <v>-5.896479254679825</v>
      </c>
      <c r="AO2" s="25">
        <f>90-AQ2</f>
        <v>89</v>
      </c>
      <c r="AP2">
        <f>ABS(AQ2-$A$8-COS(RADIANS(AO2))*$A$2*$E$6)</f>
        <v>0.69933819106543926</v>
      </c>
      <c r="AQ2" s="25">
        <v>1</v>
      </c>
      <c r="AR2">
        <f>$C$2^2*(TAN(RADIANS(AO2))*AP2-$B$6)/($D$2-$E$10*$B$2*TAN(RADIANS($AA$1)))</f>
        <v>-0.23008035338971597</v>
      </c>
      <c r="AS2" cm="1">
        <f t="array" ref="AS2">SolveT_Newton(AR2,$C$2)</f>
        <v>3.822628146201307</v>
      </c>
      <c r="AT2">
        <f t="shared" ref="AT2:AT21" si="6">(($C$2^2*$B$6+$D$2*AR2)^2+($C$2^2*AP2+$E$10*$B$2*AR2)^2)^0.5/ABS($C$2^2*AS2-$C$2*AR2)</f>
        <v>14.995421599050172</v>
      </c>
      <c r="AU2">
        <f>AT2*$E$2</f>
        <v>74.977107995250861</v>
      </c>
      <c r="AV2" s="5">
        <v>95</v>
      </c>
      <c r="AW2">
        <f>AV2-AU2</f>
        <v>20.022892004749139</v>
      </c>
      <c r="AX2">
        <f>AW2/AV2*100</f>
        <v>21.076728426051723</v>
      </c>
    </row>
    <row r="3" spans="1:50" ht="14.5" x14ac:dyDescent="0.3">
      <c r="A3" s="10" t="s">
        <v>23</v>
      </c>
      <c r="B3" s="10" t="s">
        <v>110</v>
      </c>
      <c r="C3" t="s">
        <v>55</v>
      </c>
      <c r="D3" s="6" t="s">
        <v>10</v>
      </c>
      <c r="E3">
        <v>1</v>
      </c>
      <c r="F3" t="s">
        <v>109</v>
      </c>
      <c r="G3">
        <f t="shared" ref="G3:G53" si="7">(EXP(C$2*I3)-1)*(B$4+E$10*B$2/C$2)/C$2-E$10*B$2/C$2*I3+$A$8</f>
        <v>0.34060790410712688</v>
      </c>
      <c r="H3">
        <f t="shared" ref="H3:H53" si="8">(EXP(C$2*I3)-1)*(A$4+D$2/C$2)/C$2-D$2/C$2*I3+$B$8</f>
        <v>0.24346590313010597</v>
      </c>
      <c r="I3">
        <v>0.03</v>
      </c>
      <c r="U3">
        <f t="shared" si="0"/>
        <v>1.6993381910654393</v>
      </c>
      <c r="V3" s="25">
        <v>2</v>
      </c>
      <c r="W3">
        <f t="shared" si="1"/>
        <v>-6.7435261268148968E-3</v>
      </c>
      <c r="X3" cm="1">
        <f t="array" ref="X3">SolveT_Newton(W3,$C$2)</f>
        <v>0.59212898836121597</v>
      </c>
      <c r="Y3">
        <f t="shared" si="2"/>
        <v>3.5139448669138575</v>
      </c>
      <c r="Z3">
        <f t="shared" ref="Z3:Z21" si="9">Y3*$E$2</f>
        <v>17.569724334569287</v>
      </c>
      <c r="AA3" s="5">
        <v>20</v>
      </c>
      <c r="AB3">
        <f t="shared" ref="AB3:AB21" si="10">AA3-Z3</f>
        <v>2.4302756654307132</v>
      </c>
      <c r="AC3">
        <f t="shared" ref="AC3:AC21" si="11">AB3/AA3*100</f>
        <v>12.151378327153566</v>
      </c>
      <c r="AE3">
        <f t="shared" si="3"/>
        <v>1.6993381910654393</v>
      </c>
      <c r="AF3" s="25">
        <v>2</v>
      </c>
      <c r="AG3">
        <f t="shared" si="4"/>
        <v>-4.6714984550648916E-3</v>
      </c>
      <c r="AH3" cm="1">
        <f t="array" ref="AH3">SolveT_Newton(AG3,$C$2)</f>
        <v>0.49120878110454225</v>
      </c>
      <c r="AI3">
        <f t="shared" si="5"/>
        <v>3.8653263847508481</v>
      </c>
      <c r="AJ3">
        <f t="shared" ref="AJ3:AJ21" si="12">AI3*$E$2</f>
        <v>19.326631923754242</v>
      </c>
      <c r="AK3" s="5">
        <v>19</v>
      </c>
      <c r="AL3">
        <f t="shared" ref="AL3:AL21" si="13">AK3-AJ3</f>
        <v>-0.32663192375424188</v>
      </c>
      <c r="AM3">
        <f t="shared" ref="AM3:AM21" si="14">AL3/AK3*100</f>
        <v>-1.7191153881802206</v>
      </c>
      <c r="AO3" s="25">
        <f t="shared" ref="AO3:AO21" si="15">90-AQ3</f>
        <v>88</v>
      </c>
      <c r="AP3">
        <f t="shared" ref="AP3:AP21" si="16">ABS(AQ3-$A$8-COS(RADIANS(AO3))*$A$2*$E$6)</f>
        <v>1.6993381910654393</v>
      </c>
      <c r="AQ3" s="25">
        <v>2</v>
      </c>
      <c r="AR3">
        <f t="shared" ref="AR3:AR21" si="17">$C$2^2*(TAN(RADIANS(AO3))*AP3-$B$6)/($D$2-$E$10*$B$2*TAN(RADIANS($AA$1)))</f>
        <v>-0.27920961464467525</v>
      </c>
      <c r="AS3" cm="1">
        <f t="array" ref="AS3">SolveT_Newton(AR3,$C$2)</f>
        <v>4.2656534843210911</v>
      </c>
      <c r="AT3">
        <f t="shared" si="6"/>
        <v>16.968305371474429</v>
      </c>
      <c r="AU3">
        <f t="shared" ref="AU3:AU21" si="18">AT3*$E$2</f>
        <v>84.841526857372145</v>
      </c>
      <c r="AV3" s="5">
        <v>95</v>
      </c>
      <c r="AW3">
        <f t="shared" ref="AW3:AW21" si="19">AV3-AU3</f>
        <v>10.158473142627855</v>
      </c>
      <c r="AX3">
        <f t="shared" ref="AX3:AX21" si="20">AW3/AV3*100</f>
        <v>10.693129623818795</v>
      </c>
    </row>
    <row r="4" spans="1:50" ht="14.5" x14ac:dyDescent="0.3">
      <c r="A4">
        <f>SIN(RADIANS(E11))*A13</f>
        <v>1.5916287652311196</v>
      </c>
      <c r="B4">
        <f>COS(RADIANS(E11))*A13</f>
        <v>1.3355351098765822</v>
      </c>
      <c r="D4" s="6" t="s">
        <v>108</v>
      </c>
      <c r="E4">
        <f>ABS(COS(RADIANS(E11)))</f>
        <v>0.64278760968653936</v>
      </c>
      <c r="F4" t="s">
        <v>107</v>
      </c>
      <c r="G4">
        <f t="shared" si="7"/>
        <v>0.36049125253460779</v>
      </c>
      <c r="H4">
        <f t="shared" si="8"/>
        <v>0.26323937923539409</v>
      </c>
      <c r="I4">
        <v>4.4999999999999998E-2</v>
      </c>
      <c r="U4">
        <f t="shared" si="0"/>
        <v>2.699338191065439</v>
      </c>
      <c r="V4" s="25">
        <v>3</v>
      </c>
      <c r="W4">
        <f t="shared" si="1"/>
        <v>-1.0042670522184185E-2</v>
      </c>
      <c r="X4" cm="1">
        <f t="array" ref="X4">SolveT_Newton(W4,$C$2)</f>
        <v>0.72575447880734101</v>
      </c>
      <c r="Y4">
        <f t="shared" si="2"/>
        <v>4.6139711434602733</v>
      </c>
      <c r="Z4">
        <f t="shared" si="9"/>
        <v>23.069855717301365</v>
      </c>
      <c r="AA4" s="5">
        <v>24</v>
      </c>
      <c r="AB4">
        <f t="shared" si="10"/>
        <v>0.93014428269863458</v>
      </c>
      <c r="AC4">
        <f t="shared" si="11"/>
        <v>3.8756011779109776</v>
      </c>
      <c r="AE4">
        <f t="shared" si="3"/>
        <v>2.699338191065439</v>
      </c>
      <c r="AF4" s="25">
        <v>3</v>
      </c>
      <c r="AG4">
        <f t="shared" si="4"/>
        <v>-6.7513283651574772E-3</v>
      </c>
      <c r="AH4" cm="1">
        <f t="array" ref="AH4">SolveT_Newton(AG4,$C$2)</f>
        <v>0.5924781965096253</v>
      </c>
      <c r="AI4">
        <f t="shared" si="5"/>
        <v>5.1413368237648758</v>
      </c>
      <c r="AJ4">
        <f t="shared" si="12"/>
        <v>25.706684118824377</v>
      </c>
      <c r="AK4" s="5">
        <v>25</v>
      </c>
      <c r="AL4">
        <f t="shared" si="13"/>
        <v>-0.70668411882437709</v>
      </c>
      <c r="AM4">
        <f t="shared" si="14"/>
        <v>-2.8267364752975084</v>
      </c>
      <c r="AO4" s="25">
        <f t="shared" si="15"/>
        <v>87</v>
      </c>
      <c r="AP4">
        <f t="shared" si="16"/>
        <v>2.699338191065439</v>
      </c>
      <c r="AQ4" s="25">
        <v>3</v>
      </c>
      <c r="AR4">
        <f t="shared" si="17"/>
        <v>-0.29545968400149308</v>
      </c>
      <c r="AS4" cm="1">
        <f t="array" ref="AS4">SolveT_Newton(AR4,$C$2)</f>
        <v>4.40577986620975</v>
      </c>
      <c r="AT4">
        <f t="shared" si="6"/>
        <v>17.61224258913122</v>
      </c>
      <c r="AU4">
        <f t="shared" si="18"/>
        <v>88.061212945656109</v>
      </c>
      <c r="AV4" s="5">
        <v>95</v>
      </c>
      <c r="AW4">
        <f t="shared" si="19"/>
        <v>6.9387870543438908</v>
      </c>
      <c r="AX4">
        <f t="shared" si="20"/>
        <v>7.3039863729935695</v>
      </c>
    </row>
    <row r="5" spans="1:50" ht="14.5" x14ac:dyDescent="0.3">
      <c r="A5" s="14" t="s">
        <v>106</v>
      </c>
      <c r="B5" s="14" t="s">
        <v>105</v>
      </c>
      <c r="C5" t="s">
        <v>51</v>
      </c>
      <c r="D5" s="6" t="s">
        <v>104</v>
      </c>
      <c r="E5">
        <f>POWER(2,-ABS(0.7*SIN(RADIANS(E11))*TAN(RADIANS(E11))))</f>
        <v>0.6421332672322293</v>
      </c>
      <c r="F5" t="s">
        <v>103</v>
      </c>
      <c r="G5">
        <f t="shared" si="7"/>
        <v>0.38031504030246599</v>
      </c>
      <c r="H5">
        <f t="shared" si="8"/>
        <v>0.28138098394336153</v>
      </c>
      <c r="I5">
        <v>0.06</v>
      </c>
      <c r="U5">
        <f t="shared" si="0"/>
        <v>3.699338191065439</v>
      </c>
      <c r="V5" s="25">
        <v>4</v>
      </c>
      <c r="W5">
        <f t="shared" si="1"/>
        <v>-1.3341814917553475E-2</v>
      </c>
      <c r="X5" cm="1">
        <f t="array" ref="X5">SolveT_Newton(W5,$C$2)</f>
        <v>0.83961129583611638</v>
      </c>
      <c r="Y5">
        <f t="shared" si="2"/>
        <v>5.5267376434381204</v>
      </c>
      <c r="Z5">
        <f t="shared" si="9"/>
        <v>27.633688217190603</v>
      </c>
      <c r="AA5" s="5">
        <v>28</v>
      </c>
      <c r="AB5">
        <f t="shared" si="10"/>
        <v>0.36631178280939736</v>
      </c>
      <c r="AC5">
        <f t="shared" si="11"/>
        <v>1.3082563671764191</v>
      </c>
      <c r="AE5">
        <f t="shared" si="3"/>
        <v>3.699338191065439</v>
      </c>
      <c r="AF5" s="25">
        <v>4</v>
      </c>
      <c r="AG5">
        <f t="shared" si="4"/>
        <v>-8.8311582752500627E-3</v>
      </c>
      <c r="AH5" cm="1">
        <f t="array" ref="AH5">SolveT_Newton(AG5,$C$2)</f>
        <v>0.67954867855455681</v>
      </c>
      <c r="AI5">
        <f t="shared" si="5"/>
        <v>6.1957783211670447</v>
      </c>
      <c r="AJ5">
        <f t="shared" si="12"/>
        <v>30.978891605835223</v>
      </c>
      <c r="AK5" s="5">
        <v>30</v>
      </c>
      <c r="AL5">
        <f t="shared" si="13"/>
        <v>-0.97889160583522283</v>
      </c>
      <c r="AM5">
        <f t="shared" si="14"/>
        <v>-3.2629720194507423</v>
      </c>
      <c r="AO5" s="25">
        <f t="shared" si="15"/>
        <v>86</v>
      </c>
      <c r="AP5">
        <f t="shared" si="16"/>
        <v>3.699338191065439</v>
      </c>
      <c r="AQ5" s="25">
        <v>4</v>
      </c>
      <c r="AR5">
        <f t="shared" si="17"/>
        <v>-0.30344002600726905</v>
      </c>
      <c r="AS5" cm="1">
        <f t="array" ref="AS5">SolveT_Newton(AR5,$C$2)</f>
        <v>4.4735830977769258</v>
      </c>
      <c r="AT5">
        <f t="shared" si="6"/>
        <v>17.93819852030451</v>
      </c>
      <c r="AU5">
        <f t="shared" si="18"/>
        <v>89.690992601522552</v>
      </c>
      <c r="AV5" s="5">
        <v>95</v>
      </c>
      <c r="AW5">
        <f t="shared" si="19"/>
        <v>5.3090073984774477</v>
      </c>
      <c r="AX5">
        <f t="shared" si="20"/>
        <v>5.5884288405025764</v>
      </c>
    </row>
    <row r="6" spans="1:50" ht="14.5" x14ac:dyDescent="0.3">
      <c r="A6">
        <f>IF(AND(F8&lt;0,F11&lt;90),F8/10-A8-COS(RADIANS(F11))*A2*E6,ABS(F8/10-A8-COS(RADIANS(F11))*A2*E6))</f>
        <v>0.69933819106543926</v>
      </c>
      <c r="B6">
        <f>E9-B8-SIN(RADIANS(F11))*A2*E6</f>
        <v>-0.19900371013676355</v>
      </c>
      <c r="D6" s="6" t="s">
        <v>102</v>
      </c>
      <c r="E6">
        <v>1</v>
      </c>
      <c r="G6">
        <f t="shared" si="7"/>
        <v>0.40007944582492538</v>
      </c>
      <c r="H6">
        <f t="shared" si="8"/>
        <v>0.2978956055321188</v>
      </c>
      <c r="I6">
        <v>7.4999999999999997E-2</v>
      </c>
      <c r="U6">
        <f t="shared" si="0"/>
        <v>4.699338191065439</v>
      </c>
      <c r="V6" s="25">
        <v>5</v>
      </c>
      <c r="W6">
        <f t="shared" si="1"/>
        <v>-1.6640959312922764E-2</v>
      </c>
      <c r="X6" cm="1">
        <f t="array" ref="X6">SolveT_Newton(W6,$C$2)</f>
        <v>0.94076559565538598</v>
      </c>
      <c r="Y6">
        <f t="shared" si="2"/>
        <v>6.3276310496033625</v>
      </c>
      <c r="Z6">
        <f t="shared" si="9"/>
        <v>31.638155248016812</v>
      </c>
      <c r="AA6" s="5">
        <v>32</v>
      </c>
      <c r="AB6">
        <f t="shared" si="10"/>
        <v>0.36184475198318822</v>
      </c>
      <c r="AC6">
        <f t="shared" si="11"/>
        <v>1.1307648499474632</v>
      </c>
      <c r="AE6">
        <f t="shared" si="3"/>
        <v>4.699338191065439</v>
      </c>
      <c r="AF6" s="25">
        <v>5</v>
      </c>
      <c r="AG6">
        <f t="shared" si="4"/>
        <v>-1.0910988185342646E-2</v>
      </c>
      <c r="AH6" cm="1">
        <f t="array" ref="AH6">SolveT_Newton(AG6,$C$2)</f>
        <v>0.75725476534921166</v>
      </c>
      <c r="AI6">
        <f t="shared" si="5"/>
        <v>7.1167390035836844</v>
      </c>
      <c r="AJ6">
        <f t="shared" si="12"/>
        <v>35.583695017918423</v>
      </c>
      <c r="AK6" s="5">
        <v>36</v>
      </c>
      <c r="AL6">
        <f t="shared" si="13"/>
        <v>0.41630498208157718</v>
      </c>
      <c r="AM6">
        <f t="shared" si="14"/>
        <v>1.1564027280043809</v>
      </c>
      <c r="AO6" s="25">
        <f t="shared" si="15"/>
        <v>85</v>
      </c>
      <c r="AP6">
        <f t="shared" si="16"/>
        <v>4.699338191065439</v>
      </c>
      <c r="AQ6" s="25">
        <v>5</v>
      </c>
      <c r="AR6">
        <f t="shared" si="17"/>
        <v>-0.30807248584216368</v>
      </c>
      <c r="AS6" cm="1">
        <f t="array" ref="AS6">SolveT_Newton(AR6,$C$2)</f>
        <v>4.5126512383681332</v>
      </c>
      <c r="AT6">
        <f t="shared" si="6"/>
        <v>18.140518068968039</v>
      </c>
      <c r="AU6">
        <f t="shared" si="18"/>
        <v>90.702590344840189</v>
      </c>
      <c r="AV6" s="5">
        <v>95</v>
      </c>
      <c r="AW6">
        <f t="shared" si="19"/>
        <v>4.2974096551598109</v>
      </c>
      <c r="AX6">
        <f t="shared" si="20"/>
        <v>4.5235891106945374</v>
      </c>
    </row>
    <row r="7" spans="1:50" ht="14.5" x14ac:dyDescent="0.3">
      <c r="A7" s="6" t="s">
        <v>101</v>
      </c>
      <c r="B7" s="5" t="s">
        <v>100</v>
      </c>
      <c r="C7" t="s">
        <v>54</v>
      </c>
      <c r="D7" s="19" t="s">
        <v>57</v>
      </c>
      <c r="E7" s="12" t="s">
        <v>56</v>
      </c>
      <c r="F7" s="12" t="s">
        <v>99</v>
      </c>
      <c r="G7">
        <f t="shared" si="7"/>
        <v>0.41978464698176865</v>
      </c>
      <c r="H7">
        <f t="shared" si="8"/>
        <v>0.31278811763690773</v>
      </c>
      <c r="I7">
        <v>0.09</v>
      </c>
      <c r="U7">
        <f t="shared" si="0"/>
        <v>5.699338191065439</v>
      </c>
      <c r="V7" s="25">
        <v>6</v>
      </c>
      <c r="W7">
        <f t="shared" si="1"/>
        <v>-1.9940103708292054E-2</v>
      </c>
      <c r="X7" cm="1">
        <f t="array" ref="X7">SolveT_Newton(W7,$C$2)</f>
        <v>1.0328708992887723</v>
      </c>
      <c r="Y7">
        <f t="shared" si="2"/>
        <v>7.0523336503226757</v>
      </c>
      <c r="Z7">
        <f t="shared" si="9"/>
        <v>35.261668251613379</v>
      </c>
      <c r="AA7" s="5">
        <v>35</v>
      </c>
      <c r="AB7">
        <f t="shared" si="10"/>
        <v>-0.26166825161337925</v>
      </c>
      <c r="AC7">
        <f t="shared" si="11"/>
        <v>-0.74762357603822649</v>
      </c>
      <c r="AE7">
        <f t="shared" si="3"/>
        <v>5.699338191065439</v>
      </c>
      <c r="AF7" s="25">
        <v>6</v>
      </c>
      <c r="AG7">
        <f t="shared" si="4"/>
        <v>-1.2990818095435232E-2</v>
      </c>
      <c r="AH7" cm="1">
        <f t="array" ref="AH7">SolveT_Newton(AG7,$C$2)</f>
        <v>0.82818664789550089</v>
      </c>
      <c r="AI7">
        <f t="shared" si="5"/>
        <v>7.9466067868887462</v>
      </c>
      <c r="AJ7">
        <f t="shared" si="12"/>
        <v>39.733033934443732</v>
      </c>
      <c r="AK7" s="5">
        <v>40</v>
      </c>
      <c r="AL7">
        <f t="shared" si="13"/>
        <v>0.26696606555626801</v>
      </c>
      <c r="AM7">
        <f t="shared" si="14"/>
        <v>0.66741516389067002</v>
      </c>
      <c r="AO7" s="25">
        <f t="shared" si="15"/>
        <v>84</v>
      </c>
      <c r="AP7">
        <f t="shared" si="16"/>
        <v>5.699338191065439</v>
      </c>
      <c r="AQ7" s="25">
        <v>6</v>
      </c>
      <c r="AR7">
        <f t="shared" si="17"/>
        <v>-0.31099762518744595</v>
      </c>
      <c r="AS7" cm="1">
        <f t="array" ref="AS7">SolveT_Newton(AR7,$C$2)</f>
        <v>4.5372135722815257</v>
      </c>
      <c r="AT7">
        <f t="shared" si="6"/>
        <v>18.28308132186336</v>
      </c>
      <c r="AU7">
        <f t="shared" si="18"/>
        <v>91.415406609316804</v>
      </c>
      <c r="AV7" s="5">
        <v>95</v>
      </c>
      <c r="AW7">
        <f t="shared" si="19"/>
        <v>3.5845933906831959</v>
      </c>
      <c r="AX7">
        <f t="shared" si="20"/>
        <v>3.7732562007191537</v>
      </c>
    </row>
    <row r="8" spans="1:50" ht="14.5" x14ac:dyDescent="0.3">
      <c r="A8">
        <f>COS(RADIANS(E28))*E23-SIN(RADIANS(E28))*F23</f>
        <v>0.30066180893456079</v>
      </c>
      <c r="B8">
        <f>SIN(RADIANS(E28))*E23+COS(RADIANS(E28))*F23</f>
        <v>0.19900371013676355</v>
      </c>
      <c r="D8" s="7" t="s">
        <v>98</v>
      </c>
      <c r="E8">
        <f>ABS(F8)/10</f>
        <v>1</v>
      </c>
      <c r="F8" s="13">
        <v>10</v>
      </c>
      <c r="G8">
        <f t="shared" si="7"/>
        <v>0.43943082111994064</v>
      </c>
      <c r="H8">
        <f t="shared" si="8"/>
        <v>0.32606337929401674</v>
      </c>
      <c r="I8">
        <v>0.105</v>
      </c>
      <c r="U8">
        <f t="shared" si="0"/>
        <v>6.699338191065439</v>
      </c>
      <c r="V8" s="25">
        <v>7</v>
      </c>
      <c r="W8">
        <f t="shared" si="1"/>
        <v>-2.3239248103661347E-2</v>
      </c>
      <c r="X8" cm="1">
        <f t="array" ref="X8">SolveT_Newton(W8,$C$2)</f>
        <v>1.1181078915732767</v>
      </c>
      <c r="Y8">
        <f t="shared" si="2"/>
        <v>7.7209696162955597</v>
      </c>
      <c r="Z8">
        <f t="shared" si="9"/>
        <v>38.604848081477797</v>
      </c>
      <c r="AA8" s="5">
        <v>38</v>
      </c>
      <c r="AB8">
        <f t="shared" si="10"/>
        <v>-0.60484808147779745</v>
      </c>
      <c r="AC8">
        <f t="shared" si="11"/>
        <v>-1.591705477573151</v>
      </c>
      <c r="AE8">
        <f t="shared" si="3"/>
        <v>6.699338191065439</v>
      </c>
      <c r="AF8" s="25">
        <v>7</v>
      </c>
      <c r="AG8">
        <f t="shared" si="4"/>
        <v>-1.5070648005527817E-2</v>
      </c>
      <c r="AH8" cm="1">
        <f t="array" ref="AH8">SolveT_Newton(AG8,$C$2)</f>
        <v>0.89392397731064677</v>
      </c>
      <c r="AI8">
        <f t="shared" si="5"/>
        <v>8.7094327570202275</v>
      </c>
      <c r="AJ8">
        <f t="shared" si="12"/>
        <v>43.547163785101134</v>
      </c>
      <c r="AK8" s="5">
        <v>44</v>
      </c>
      <c r="AL8">
        <f t="shared" si="13"/>
        <v>0.45283621489886627</v>
      </c>
      <c r="AM8">
        <f t="shared" si="14"/>
        <v>1.0291732156792415</v>
      </c>
      <c r="AO8" s="25">
        <f t="shared" si="15"/>
        <v>83</v>
      </c>
      <c r="AP8">
        <f t="shared" si="16"/>
        <v>6.699338191065439</v>
      </c>
      <c r="AQ8" s="25">
        <v>7</v>
      </c>
      <c r="AR8">
        <f t="shared" si="17"/>
        <v>-0.3129184844361963</v>
      </c>
      <c r="AS8" cm="1">
        <f t="array" ref="AS8">SolveT_Newton(AR8,$C$2)</f>
        <v>4.5532986510881104</v>
      </c>
      <c r="AT8">
        <f t="shared" si="6"/>
        <v>18.393069085059793</v>
      </c>
      <c r="AU8">
        <f t="shared" si="18"/>
        <v>91.965345425298963</v>
      </c>
      <c r="AV8" s="5">
        <v>95</v>
      </c>
      <c r="AW8">
        <f t="shared" si="19"/>
        <v>3.0346545747010367</v>
      </c>
      <c r="AX8">
        <f t="shared" si="20"/>
        <v>3.1943732365274071</v>
      </c>
    </row>
    <row r="9" spans="1:50" ht="14.5" x14ac:dyDescent="0.3">
      <c r="D9" s="7" t="s">
        <v>97</v>
      </c>
      <c r="E9">
        <f>F9/10</f>
        <v>0</v>
      </c>
      <c r="F9" s="13">
        <v>0</v>
      </c>
      <c r="G9">
        <f t="shared" si="7"/>
        <v>0.45901814505513966</v>
      </c>
      <c r="H9">
        <f t="shared" si="8"/>
        <v>0.33772623498439336</v>
      </c>
      <c r="I9">
        <v>0.12</v>
      </c>
      <c r="U9">
        <f t="shared" si="0"/>
        <v>7.699338191065439</v>
      </c>
      <c r="V9" s="25">
        <v>8</v>
      </c>
      <c r="W9">
        <f t="shared" si="1"/>
        <v>-2.6538392499030641E-2</v>
      </c>
      <c r="X9" cm="1">
        <f t="array" ref="X9">SolveT_Newton(W9,$C$2)</f>
        <v>1.1979018386186759</v>
      </c>
      <c r="Y9">
        <f t="shared" si="2"/>
        <v>8.3461767992059546</v>
      </c>
      <c r="Z9">
        <f t="shared" si="9"/>
        <v>41.730883996029775</v>
      </c>
      <c r="AA9" s="5">
        <v>41</v>
      </c>
      <c r="AB9">
        <f t="shared" si="10"/>
        <v>-0.73088399602977461</v>
      </c>
      <c r="AC9">
        <f t="shared" si="11"/>
        <v>-1.7826438927555477</v>
      </c>
      <c r="AE9">
        <f t="shared" si="3"/>
        <v>7.699338191065439</v>
      </c>
      <c r="AF9" s="25">
        <v>8</v>
      </c>
      <c r="AG9">
        <f t="shared" si="4"/>
        <v>-1.7150477915620403E-2</v>
      </c>
      <c r="AH9" cm="1">
        <f t="array" ref="AH9">SolveT_Newton(AG9,$C$2)</f>
        <v>0.95551434001894009</v>
      </c>
      <c r="AI9">
        <f t="shared" si="5"/>
        <v>9.4203529615820578</v>
      </c>
      <c r="AJ9">
        <f t="shared" si="12"/>
        <v>47.101764807910286</v>
      </c>
      <c r="AK9" s="5">
        <v>48</v>
      </c>
      <c r="AL9">
        <f t="shared" si="13"/>
        <v>0.89823519208971447</v>
      </c>
      <c r="AM9">
        <f t="shared" si="14"/>
        <v>1.8713233168535719</v>
      </c>
      <c r="AO9" s="25">
        <f t="shared" si="15"/>
        <v>82</v>
      </c>
      <c r="AP9">
        <f t="shared" si="16"/>
        <v>7.699338191065439</v>
      </c>
      <c r="AQ9" s="25">
        <v>8</v>
      </c>
      <c r="AR9">
        <f t="shared" si="17"/>
        <v>-0.31418652318422963</v>
      </c>
      <c r="AS9" cm="1">
        <f t="array" ref="AS9">SolveT_Newton(AR9,$C$2)</f>
        <v>4.5638980161790377</v>
      </c>
      <c r="AT9">
        <f t="shared" si="6"/>
        <v>18.484018564368537</v>
      </c>
      <c r="AU9">
        <f t="shared" si="18"/>
        <v>92.420092821842687</v>
      </c>
      <c r="AV9" s="5">
        <v>95</v>
      </c>
      <c r="AW9">
        <f t="shared" si="19"/>
        <v>2.5799071781573133</v>
      </c>
      <c r="AX9">
        <f t="shared" si="20"/>
        <v>2.7156917664813824</v>
      </c>
    </row>
    <row r="10" spans="1:50" ht="14.5" x14ac:dyDescent="0.3">
      <c r="A10" s="2" t="s">
        <v>96</v>
      </c>
      <c r="B10" s="1" t="s">
        <v>95</v>
      </c>
      <c r="C10" s="1" t="s">
        <v>11</v>
      </c>
      <c r="D10" s="8" t="s">
        <v>94</v>
      </c>
      <c r="E10">
        <f>IF(AND(F8&lt;0,F11&lt;90),F10/10,IF(F8&gt;0,F10/10,-F10/10))</f>
        <v>0</v>
      </c>
      <c r="F10" s="13">
        <v>0</v>
      </c>
      <c r="G10">
        <f t="shared" si="7"/>
        <v>0.4785467950734138</v>
      </c>
      <c r="H10">
        <f t="shared" si="8"/>
        <v>0.3477815146773745</v>
      </c>
      <c r="I10">
        <v>0.13500000000000001</v>
      </c>
      <c r="U10">
        <f t="shared" si="0"/>
        <v>8.6993381910654399</v>
      </c>
      <c r="V10" s="25">
        <v>9</v>
      </c>
      <c r="W10">
        <f t="shared" si="1"/>
        <v>-2.9837536894399934E-2</v>
      </c>
      <c r="X10" cm="1">
        <f t="array" ref="X10">SolveT_Newton(W10,$C$2)</f>
        <v>1.2732448999540593</v>
      </c>
      <c r="Y10">
        <f t="shared" si="2"/>
        <v>8.9364939385745803</v>
      </c>
      <c r="Z10">
        <f t="shared" si="9"/>
        <v>44.6824696928729</v>
      </c>
      <c r="AA10" s="5">
        <v>44</v>
      </c>
      <c r="AB10">
        <f t="shared" si="10"/>
        <v>-0.68246969287289971</v>
      </c>
      <c r="AC10">
        <f t="shared" si="11"/>
        <v>-1.5510674838020448</v>
      </c>
      <c r="AE10">
        <f t="shared" si="3"/>
        <v>8.6993381910654399</v>
      </c>
      <c r="AF10" s="25">
        <v>9</v>
      </c>
      <c r="AG10">
        <f t="shared" si="4"/>
        <v>-1.923030782571299E-2</v>
      </c>
      <c r="AH10" cm="1">
        <f t="array" ref="AH10">SolveT_Newton(AG10,$C$2)</f>
        <v>1.0136947268201661</v>
      </c>
      <c r="AI10">
        <f t="shared" si="5"/>
        <v>10.089598465085297</v>
      </c>
      <c r="AJ10">
        <f t="shared" si="12"/>
        <v>50.447992325426483</v>
      </c>
      <c r="AK10" s="5">
        <v>51</v>
      </c>
      <c r="AL10">
        <f t="shared" si="13"/>
        <v>0.55200767457351674</v>
      </c>
      <c r="AM10">
        <f t="shared" si="14"/>
        <v>1.0823679893598368</v>
      </c>
      <c r="AO10" s="25">
        <f t="shared" si="15"/>
        <v>81</v>
      </c>
      <c r="AP10">
        <f t="shared" si="16"/>
        <v>8.6993381910654399</v>
      </c>
      <c r="AQ10" s="25">
        <v>9</v>
      </c>
      <c r="AR10">
        <f t="shared" si="17"/>
        <v>-0.31499693366083786</v>
      </c>
      <c r="AS10" cm="1">
        <f t="array" ref="AS10">SolveT_Newton(AR10,$C$2)</f>
        <v>4.5706642412382639</v>
      </c>
      <c r="AT10">
        <f t="shared" si="6"/>
        <v>18.563438141658381</v>
      </c>
      <c r="AU10">
        <f t="shared" si="18"/>
        <v>92.817190708291903</v>
      </c>
      <c r="AV10" s="5">
        <v>95</v>
      </c>
      <c r="AW10">
        <f t="shared" si="19"/>
        <v>2.1828092917080966</v>
      </c>
      <c r="AX10">
        <f t="shared" si="20"/>
        <v>2.2976939912716805</v>
      </c>
    </row>
    <row r="11" spans="1:50" ht="14.5" x14ac:dyDescent="0.3">
      <c r="A11">
        <f>C2^2*(TAN(RADIANS(E11))*A6-B6)/(D2-E10*B$2*TAN(RADIANS(E11)))</f>
        <v>-5.8996714958704979E-3</v>
      </c>
      <c r="B11">
        <f>IF(ISERROR(1-EXP(C2*C11)+C2*C11),0,1-EXP(C2*C11)+C2*C11)</f>
        <v>-5.8996714961619123E-3</v>
      </c>
      <c r="C11">
        <v>0.55313729882479246</v>
      </c>
      <c r="D11" s="9" t="s">
        <v>93</v>
      </c>
      <c r="E11">
        <f>IF(AND(F8&gt;0,F11&gt;90),F11,IF(F11&gt;90,180-F11,F11))</f>
        <v>50</v>
      </c>
      <c r="F11" s="13">
        <v>50</v>
      </c>
      <c r="G11">
        <f t="shared" si="7"/>
        <v>0.4980169469327454</v>
      </c>
      <c r="H11">
        <f t="shared" si="8"/>
        <v>0.35623403387409847</v>
      </c>
      <c r="I11">
        <v>0.15</v>
      </c>
      <c r="U11">
        <f t="shared" si="0"/>
        <v>9.6993381910654399</v>
      </c>
      <c r="V11" s="25">
        <v>10</v>
      </c>
      <c r="W11">
        <f t="shared" si="1"/>
        <v>-3.3136681289769224E-2</v>
      </c>
      <c r="X11" cm="1">
        <f t="array" ref="X11">SolveT_Newton(W11,$C$2)</f>
        <v>1.3448606218503611</v>
      </c>
      <c r="Y11">
        <f t="shared" si="2"/>
        <v>9.4980049519801035</v>
      </c>
      <c r="Z11">
        <f t="shared" si="9"/>
        <v>47.490024759900521</v>
      </c>
      <c r="AA11" s="5">
        <v>47</v>
      </c>
      <c r="AB11">
        <f t="shared" si="10"/>
        <v>-0.49002475990052119</v>
      </c>
      <c r="AC11">
        <f t="shared" si="11"/>
        <v>-1.0426058721287683</v>
      </c>
      <c r="AE11">
        <f t="shared" si="3"/>
        <v>9.6993381910654399</v>
      </c>
      <c r="AF11" s="25">
        <v>10</v>
      </c>
      <c r="AG11">
        <f t="shared" si="4"/>
        <v>-2.1310137735805573E-2</v>
      </c>
      <c r="AH11" cm="1">
        <f t="array" ref="AH11">SolveT_Newton(AG11,$C$2)</f>
        <v>1.0690069324931193</v>
      </c>
      <c r="AI11">
        <f t="shared" si="5"/>
        <v>10.724456490358987</v>
      </c>
      <c r="AJ11">
        <f t="shared" si="12"/>
        <v>53.622282451794938</v>
      </c>
      <c r="AK11" s="5">
        <v>54</v>
      </c>
      <c r="AL11">
        <f t="shared" si="13"/>
        <v>0.37771754820506231</v>
      </c>
      <c r="AM11">
        <f t="shared" si="14"/>
        <v>0.69947694112048575</v>
      </c>
      <c r="AO11" s="25">
        <f t="shared" si="15"/>
        <v>80</v>
      </c>
      <c r="AP11">
        <f t="shared" si="16"/>
        <v>9.6993381910654399</v>
      </c>
      <c r="AQ11" s="25">
        <v>10</v>
      </c>
      <c r="AR11">
        <f t="shared" si="17"/>
        <v>-0.31546676603114232</v>
      </c>
      <c r="AS11" cm="1">
        <f t="array" ref="AS11">SolveT_Newton(AR11,$C$2)</f>
        <v>4.5745841298753591</v>
      </c>
      <c r="AT11">
        <f t="shared" si="6"/>
        <v>18.635835147288169</v>
      </c>
      <c r="AU11">
        <f t="shared" si="18"/>
        <v>93.17917573644084</v>
      </c>
      <c r="AV11" s="5">
        <v>95</v>
      </c>
      <c r="AW11">
        <f t="shared" si="19"/>
        <v>1.8208242635591603</v>
      </c>
      <c r="AX11">
        <f t="shared" si="20"/>
        <v>1.9166571195359583</v>
      </c>
    </row>
    <row r="12" spans="1:50" ht="14.5" x14ac:dyDescent="0.3">
      <c r="A12" s="2" t="s">
        <v>92</v>
      </c>
      <c r="E12" t="s">
        <v>91</v>
      </c>
      <c r="F12" t="s">
        <v>90</v>
      </c>
      <c r="G12">
        <f t="shared" si="7"/>
        <v>0.5174287758646321</v>
      </c>
      <c r="H12">
        <f t="shared" si="8"/>
        <v>0.36308859365082358</v>
      </c>
      <c r="I12">
        <v>0.16500000000000001</v>
      </c>
      <c r="U12">
        <f t="shared" si="0"/>
        <v>10.69933819106544</v>
      </c>
      <c r="V12" s="25">
        <v>11</v>
      </c>
      <c r="W12">
        <f t="shared" si="1"/>
        <v>-3.6435825685138513E-2</v>
      </c>
      <c r="X12" cm="1">
        <f t="array" ref="X12">SolveT_Newton(W12,$C$2)</f>
        <v>1.4132958886804441</v>
      </c>
      <c r="Y12">
        <f t="shared" si="2"/>
        <v>10.035223277253136</v>
      </c>
      <c r="Z12">
        <f t="shared" si="9"/>
        <v>50.176116386265683</v>
      </c>
      <c r="AA12" s="5">
        <v>50</v>
      </c>
      <c r="AB12">
        <f t="shared" si="10"/>
        <v>-0.17611638626568293</v>
      </c>
      <c r="AC12">
        <f t="shared" si="11"/>
        <v>-0.35223277253136587</v>
      </c>
      <c r="AE12">
        <f t="shared" si="3"/>
        <v>10.69933819106544</v>
      </c>
      <c r="AF12" s="25">
        <v>11</v>
      </c>
      <c r="AG12">
        <f t="shared" si="4"/>
        <v>-2.3389967645898162E-2</v>
      </c>
      <c r="AH12" cm="1">
        <f t="array" ref="AH12">SolveT_Newton(AG12,$C$2)</f>
        <v>1.1218630651231827</v>
      </c>
      <c r="AI12">
        <f t="shared" si="5"/>
        <v>11.330329403992394</v>
      </c>
      <c r="AJ12">
        <f t="shared" si="12"/>
        <v>56.65164701996197</v>
      </c>
      <c r="AK12" s="5">
        <v>57</v>
      </c>
      <c r="AL12">
        <f t="shared" si="13"/>
        <v>0.34835298003802961</v>
      </c>
      <c r="AM12">
        <f t="shared" si="14"/>
        <v>0.61114557901408706</v>
      </c>
      <c r="AO12" s="25">
        <f t="shared" si="15"/>
        <v>79</v>
      </c>
      <c r="AP12">
        <f t="shared" si="16"/>
        <v>10.69933819106544</v>
      </c>
      <c r="AQ12" s="25">
        <v>11</v>
      </c>
      <c r="AR12">
        <f t="shared" si="17"/>
        <v>-0.31567043982403981</v>
      </c>
      <c r="AS12" cm="1">
        <f t="array" ref="AS12">SolveT_Newton(AR12,$C$2)</f>
        <v>4.5762827758027118</v>
      </c>
      <c r="AT12">
        <f t="shared" si="6"/>
        <v>18.704086340745764</v>
      </c>
      <c r="AU12">
        <f t="shared" si="18"/>
        <v>93.520431703728818</v>
      </c>
      <c r="AV12" s="5">
        <v>95</v>
      </c>
      <c r="AW12">
        <f t="shared" si="19"/>
        <v>1.4795682962711822</v>
      </c>
      <c r="AX12">
        <f t="shared" si="20"/>
        <v>1.5574403118644025</v>
      </c>
    </row>
    <row r="13" spans="1:50" ht="14.5" x14ac:dyDescent="0.3">
      <c r="A13">
        <f>((C2^2*B6+D2*A11)^2+(C2^2*A6+E10*B2*A11)^2)^0.5/ABS(C2^2*C11-C2*A11)</f>
        <v>2.0777237920436376</v>
      </c>
      <c r="D13" s="11" t="s">
        <v>89</v>
      </c>
      <c r="E13">
        <f>IF(A13*E2&lt;0.5,0,A13*E2)</f>
        <v>10.388618960218189</v>
      </c>
      <c r="G13">
        <f t="shared" si="7"/>
        <v>0.53678245657566537</v>
      </c>
      <c r="H13">
        <f t="shared" si="8"/>
        <v>0.3683499807021825</v>
      </c>
      <c r="I13">
        <v>0.18</v>
      </c>
      <c r="U13">
        <f t="shared" si="0"/>
        <v>11.69933819106544</v>
      </c>
      <c r="V13" s="25">
        <v>12</v>
      </c>
      <c r="W13">
        <f t="shared" si="1"/>
        <v>-3.9734970080507803E-2</v>
      </c>
      <c r="X13" cm="1">
        <f t="array" ref="X13">SolveT_Newton(W13,$C$2)</f>
        <v>1.4789759764831083</v>
      </c>
      <c r="Y13">
        <f t="shared" si="2"/>
        <v>10.5516052690358</v>
      </c>
      <c r="Z13">
        <f t="shared" si="9"/>
        <v>52.758026345179005</v>
      </c>
      <c r="AA13" s="5">
        <v>52</v>
      </c>
      <c r="AB13">
        <f t="shared" si="10"/>
        <v>-0.75802634517900458</v>
      </c>
      <c r="AC13">
        <f t="shared" si="11"/>
        <v>-1.4577429714980856</v>
      </c>
      <c r="AE13">
        <f t="shared" si="3"/>
        <v>11.69933819106544</v>
      </c>
      <c r="AF13" s="25">
        <v>12</v>
      </c>
      <c r="AG13">
        <f t="shared" si="4"/>
        <v>-2.5469797555990745E-2</v>
      </c>
      <c r="AH13" cm="1">
        <f t="array" ref="AH13">SolveT_Newton(AG13,$C$2)</f>
        <v>1.1725852386134088</v>
      </c>
      <c r="AI13">
        <f t="shared" si="5"/>
        <v>11.911350802924037</v>
      </c>
      <c r="AJ13">
        <f t="shared" si="12"/>
        <v>59.556754014620182</v>
      </c>
      <c r="AK13" s="5">
        <v>60</v>
      </c>
      <c r="AL13">
        <f t="shared" si="13"/>
        <v>0.44324598537981785</v>
      </c>
      <c r="AM13">
        <f t="shared" si="14"/>
        <v>0.73874330896636309</v>
      </c>
      <c r="AO13" s="25">
        <f t="shared" si="15"/>
        <v>78</v>
      </c>
      <c r="AP13">
        <f t="shared" si="16"/>
        <v>11.69933819106544</v>
      </c>
      <c r="AQ13" s="25">
        <v>12</v>
      </c>
      <c r="AR13">
        <f t="shared" si="17"/>
        <v>-0.31565749957025374</v>
      </c>
      <c r="AS13" cm="1">
        <f t="array" ref="AS13">SolveT_Newton(AR13,$C$2)</f>
        <v>4.576174865139758</v>
      </c>
      <c r="AT13">
        <f t="shared" si="6"/>
        <v>18.770121026674683</v>
      </c>
      <c r="AU13">
        <f t="shared" si="18"/>
        <v>93.850605133373421</v>
      </c>
      <c r="AV13" s="5">
        <v>95</v>
      </c>
      <c r="AW13">
        <f t="shared" si="19"/>
        <v>1.1493948666265794</v>
      </c>
      <c r="AX13">
        <f t="shared" si="20"/>
        <v>1.2098893332911362</v>
      </c>
    </row>
    <row r="14" spans="1:50" x14ac:dyDescent="0.3">
      <c r="G14">
        <f t="shared" si="7"/>
        <v>0.55607816324910297</v>
      </c>
      <c r="H14">
        <f t="shared" si="8"/>
        <v>0.37202296738425622</v>
      </c>
      <c r="I14">
        <v>0.19500000000000001</v>
      </c>
      <c r="U14">
        <f t="shared" si="0"/>
        <v>12.69933819106544</v>
      </c>
      <c r="V14" s="25">
        <v>13</v>
      </c>
      <c r="W14">
        <f t="shared" si="1"/>
        <v>-4.3034114475877093E-2</v>
      </c>
      <c r="X14" cm="1">
        <f t="array" ref="X14">SolveT_Newton(W14,$C$2)</f>
        <v>1.5422393366973903</v>
      </c>
      <c r="Y14">
        <f t="shared" si="2"/>
        <v>11.049866473060579</v>
      </c>
      <c r="Z14">
        <f t="shared" si="9"/>
        <v>55.249332365302891</v>
      </c>
      <c r="AA14" s="5">
        <v>55</v>
      </c>
      <c r="AB14">
        <f t="shared" si="10"/>
        <v>-0.24933236530289093</v>
      </c>
      <c r="AC14">
        <f t="shared" si="11"/>
        <v>-0.45333157327798357</v>
      </c>
      <c r="AE14">
        <f t="shared" si="3"/>
        <v>12.69933819106544</v>
      </c>
      <c r="AF14" s="25">
        <v>13</v>
      </c>
      <c r="AG14">
        <f t="shared" si="4"/>
        <v>-2.7549627466083332E-2</v>
      </c>
      <c r="AH14" cm="1">
        <f t="array" ref="AH14">SolveT_Newton(AG14,$C$2)</f>
        <v>1.221430891095884</v>
      </c>
      <c r="AI14">
        <f t="shared" si="5"/>
        <v>12.470765434928294</v>
      </c>
      <c r="AJ14">
        <f t="shared" si="12"/>
        <v>62.353827174641474</v>
      </c>
      <c r="AK14" s="5">
        <v>63</v>
      </c>
      <c r="AL14">
        <f t="shared" si="13"/>
        <v>0.64617282535852638</v>
      </c>
      <c r="AM14">
        <f t="shared" si="14"/>
        <v>1.0256711513627403</v>
      </c>
      <c r="AO14" s="25">
        <f t="shared" si="15"/>
        <v>77</v>
      </c>
      <c r="AP14">
        <f t="shared" si="16"/>
        <v>12.69933819106544</v>
      </c>
      <c r="AQ14" s="25">
        <v>13</v>
      </c>
      <c r="AR14">
        <f t="shared" si="17"/>
        <v>-0.31546217545206939</v>
      </c>
      <c r="AS14" cm="1">
        <f t="array" ref="AS14">SolveT_Newton(AR14,$C$2)</f>
        <v>4.5745458398565155</v>
      </c>
      <c r="AT14">
        <f t="shared" si="6"/>
        <v>18.835288030573068</v>
      </c>
      <c r="AU14">
        <f t="shared" si="18"/>
        <v>94.176440152865339</v>
      </c>
      <c r="AV14" s="5">
        <v>95</v>
      </c>
      <c r="AW14">
        <f t="shared" si="19"/>
        <v>0.82355984713466057</v>
      </c>
      <c r="AX14">
        <f t="shared" si="20"/>
        <v>0.86690510224701112</v>
      </c>
    </row>
    <row r="15" spans="1:50" x14ac:dyDescent="0.3">
      <c r="A15" s="37" t="s">
        <v>121</v>
      </c>
      <c r="B15" s="37"/>
      <c r="C15" s="37"/>
      <c r="D15" s="37"/>
      <c r="E15" s="37"/>
      <c r="F15" s="37"/>
      <c r="G15">
        <f t="shared" si="7"/>
        <v>0.57531606954643499</v>
      </c>
      <c r="H15">
        <f t="shared" si="8"/>
        <v>0.37411231175748283</v>
      </c>
      <c r="I15">
        <v>0.21</v>
      </c>
      <c r="U15">
        <f t="shared" si="0"/>
        <v>13.69933819106544</v>
      </c>
      <c r="V15" s="25">
        <v>14</v>
      </c>
      <c r="W15">
        <f t="shared" si="1"/>
        <v>-4.6333258871246383E-2</v>
      </c>
      <c r="X15" cm="1">
        <f t="array" ref="X15">SolveT_Newton(W15,$C$2)</f>
        <v>1.6033605472894281</v>
      </c>
      <c r="Y15">
        <f t="shared" si="2"/>
        <v>11.532185945108788</v>
      </c>
      <c r="Z15">
        <f t="shared" si="9"/>
        <v>57.660929725543937</v>
      </c>
      <c r="AA15" s="5">
        <v>57</v>
      </c>
      <c r="AB15">
        <f t="shared" si="10"/>
        <v>-0.66092972554393725</v>
      </c>
      <c r="AC15">
        <f t="shared" si="11"/>
        <v>-1.1595258342876094</v>
      </c>
      <c r="AE15">
        <f t="shared" si="3"/>
        <v>13.69933819106544</v>
      </c>
      <c r="AF15" s="25">
        <v>14</v>
      </c>
      <c r="AG15">
        <f t="shared" si="4"/>
        <v>-2.9629457376175918E-2</v>
      </c>
      <c r="AH15" cm="1">
        <f t="array" ref="AH15">SolveT_Newton(AG15,$C$2)</f>
        <v>1.2686096213989817</v>
      </c>
      <c r="AI15">
        <f t="shared" si="5"/>
        <v>13.011174719079039</v>
      </c>
      <c r="AJ15">
        <f t="shared" si="12"/>
        <v>65.055873595395198</v>
      </c>
      <c r="AK15" s="5">
        <v>66</v>
      </c>
      <c r="AL15">
        <f t="shared" si="13"/>
        <v>0.94412640460480191</v>
      </c>
      <c r="AM15">
        <f t="shared" si="14"/>
        <v>1.430494552431518</v>
      </c>
      <c r="AO15" s="25">
        <f t="shared" si="15"/>
        <v>76</v>
      </c>
      <c r="AP15">
        <f t="shared" si="16"/>
        <v>13.69933819106544</v>
      </c>
      <c r="AQ15" s="25">
        <v>14</v>
      </c>
      <c r="AR15">
        <f t="shared" si="17"/>
        <v>-0.31510884645097986</v>
      </c>
      <c r="AS15" cm="1">
        <f t="array" ref="AS15">SolveT_Newton(AR15,$C$2)</f>
        <v>4.5715981344962673</v>
      </c>
      <c r="AT15">
        <f t="shared" si="6"/>
        <v>18.900565040192348</v>
      </c>
      <c r="AU15">
        <f t="shared" si="18"/>
        <v>94.502825200961738</v>
      </c>
      <c r="AV15" s="5">
        <v>95</v>
      </c>
      <c r="AW15">
        <f t="shared" si="19"/>
        <v>0.49717479903826245</v>
      </c>
      <c r="AX15">
        <f t="shared" si="20"/>
        <v>0.52334189372448681</v>
      </c>
    </row>
    <row r="16" spans="1:50" x14ac:dyDescent="0.3">
      <c r="A16" s="37"/>
      <c r="B16" s="37"/>
      <c r="C16" s="37"/>
      <c r="D16" s="37"/>
      <c r="E16" s="37"/>
      <c r="F16" s="37"/>
      <c r="G16">
        <f t="shared" si="7"/>
        <v>0.59449634860894718</v>
      </c>
      <c r="H16">
        <f t="shared" si="8"/>
        <v>0.37462275762950681</v>
      </c>
      <c r="I16">
        <v>0.22500000000000001</v>
      </c>
      <c r="U16">
        <f t="shared" si="0"/>
        <v>14.69933819106544</v>
      </c>
      <c r="V16" s="25">
        <v>15</v>
      </c>
      <c r="W16">
        <f t="shared" si="1"/>
        <v>-4.9632403266615673E-2</v>
      </c>
      <c r="X16" cm="1">
        <f t="array" ref="X16">SolveT_Newton(W16,$C$2)</f>
        <v>1.6625660077520816</v>
      </c>
      <c r="Y16">
        <f t="shared" si="2"/>
        <v>12.000343484617451</v>
      </c>
      <c r="Z16">
        <f t="shared" si="9"/>
        <v>60.001717423087257</v>
      </c>
      <c r="AA16" s="5">
        <v>60</v>
      </c>
      <c r="AB16">
        <f t="shared" si="10"/>
        <v>-1.7174230872569751E-3</v>
      </c>
      <c r="AC16">
        <f t="shared" si="11"/>
        <v>-2.8623718120949584E-3</v>
      </c>
      <c r="AE16">
        <f t="shared" si="3"/>
        <v>14.69933819106544</v>
      </c>
      <c r="AF16" s="25">
        <v>15</v>
      </c>
      <c r="AG16">
        <f t="shared" si="4"/>
        <v>-3.1709287286268505E-2</v>
      </c>
      <c r="AH16" cm="1">
        <f t="array" ref="AH16">SolveT_Newton(AG16,$C$2)</f>
        <v>1.3142947777533065</v>
      </c>
      <c r="AI16">
        <f t="shared" si="5"/>
        <v>13.53470164200775</v>
      </c>
      <c r="AJ16">
        <f t="shared" si="12"/>
        <v>67.673508210038747</v>
      </c>
      <c r="AK16" s="5">
        <v>69</v>
      </c>
      <c r="AL16">
        <f t="shared" si="13"/>
        <v>1.3264917899612527</v>
      </c>
      <c r="AM16">
        <f t="shared" si="14"/>
        <v>1.922451869509062</v>
      </c>
      <c r="AO16" s="25">
        <f t="shared" si="15"/>
        <v>75</v>
      </c>
      <c r="AP16">
        <f t="shared" si="16"/>
        <v>14.69933819106544</v>
      </c>
      <c r="AQ16" s="25">
        <v>15</v>
      </c>
      <c r="AR16">
        <f t="shared" si="17"/>
        <v>-0.31461531815331772</v>
      </c>
      <c r="AS16" cm="1">
        <f t="array" ref="AS16">SolveT_Newton(AR16,$C$2)</f>
        <v>4.5674788465325413</v>
      </c>
      <c r="AT16">
        <f t="shared" si="6"/>
        <v>18.966684066266776</v>
      </c>
      <c r="AU16">
        <f t="shared" si="18"/>
        <v>94.833420331333883</v>
      </c>
      <c r="AV16" s="5">
        <v>95</v>
      </c>
      <c r="AW16">
        <f t="shared" si="19"/>
        <v>0.16657966866611673</v>
      </c>
      <c r="AX16">
        <f t="shared" si="20"/>
        <v>0.17534701964854393</v>
      </c>
    </row>
    <row r="17" spans="1:50" x14ac:dyDescent="0.3">
      <c r="A17" s="37"/>
      <c r="B17" s="37"/>
      <c r="C17" s="37"/>
      <c r="D17" s="37"/>
      <c r="E17" s="37"/>
      <c r="F17" s="37"/>
      <c r="G17">
        <f t="shared" si="7"/>
        <v>0.61361917305928082</v>
      </c>
      <c r="H17">
        <f t="shared" si="8"/>
        <v>0.37355903459788442</v>
      </c>
      <c r="I17">
        <v>0.24</v>
      </c>
      <c r="U17">
        <f t="shared" si="0"/>
        <v>15.69933819106544</v>
      </c>
      <c r="V17" s="25">
        <v>16</v>
      </c>
      <c r="W17">
        <f t="shared" si="1"/>
        <v>-5.2931547661984955E-2</v>
      </c>
      <c r="X17" cm="1">
        <f t="array" ref="X17">SolveT_Newton(W17,$C$2)</f>
        <v>1.7200449990400335</v>
      </c>
      <c r="Y17">
        <f t="shared" si="2"/>
        <v>12.455814854616158</v>
      </c>
      <c r="Z17">
        <f t="shared" si="9"/>
        <v>62.279074273080788</v>
      </c>
      <c r="AA17" s="5">
        <v>62</v>
      </c>
      <c r="AB17">
        <f t="shared" si="10"/>
        <v>-0.2790742730807878</v>
      </c>
      <c r="AC17">
        <f t="shared" si="11"/>
        <v>-0.45011979529159318</v>
      </c>
      <c r="AE17">
        <f t="shared" si="3"/>
        <v>15.69933819106544</v>
      </c>
      <c r="AF17" s="25">
        <v>16</v>
      </c>
      <c r="AG17">
        <f t="shared" si="4"/>
        <v>-3.3789117196361088E-2</v>
      </c>
      <c r="AH17" cm="1">
        <f t="array" ref="AH17">SolveT_Newton(AG17,$C$2)</f>
        <v>1.3586316693044291</v>
      </c>
      <c r="AI17">
        <f t="shared" si="5"/>
        <v>14.043105134805042</v>
      </c>
      <c r="AJ17">
        <f t="shared" si="12"/>
        <v>70.215525674025216</v>
      </c>
      <c r="AK17" s="5">
        <v>72</v>
      </c>
      <c r="AL17">
        <f t="shared" si="13"/>
        <v>1.7844743259747844</v>
      </c>
      <c r="AM17">
        <f t="shared" si="14"/>
        <v>2.4784365638538675</v>
      </c>
      <c r="AO17" s="25">
        <f t="shared" si="15"/>
        <v>74</v>
      </c>
      <c r="AP17">
        <f t="shared" si="16"/>
        <v>15.69933819106544</v>
      </c>
      <c r="AQ17" s="25">
        <v>16</v>
      </c>
      <c r="AR17">
        <f t="shared" si="17"/>
        <v>-0.31399487129372339</v>
      </c>
      <c r="AS17" cm="1">
        <f t="array" ref="AS17">SolveT_Newton(AR17,$C$2)</f>
        <v>4.5622969913972629</v>
      </c>
      <c r="AT17">
        <f t="shared" si="6"/>
        <v>19.034209812495853</v>
      </c>
      <c r="AU17">
        <f t="shared" si="18"/>
        <v>95.171049062479256</v>
      </c>
      <c r="AV17" s="5">
        <v>95</v>
      </c>
      <c r="AW17">
        <f t="shared" si="19"/>
        <v>-0.17104906247925555</v>
      </c>
      <c r="AX17">
        <f t="shared" si="20"/>
        <v>-0.18005164471500584</v>
      </c>
    </row>
    <row r="18" spans="1:50" x14ac:dyDescent="0.3">
      <c r="A18" s="37"/>
      <c r="B18" s="37"/>
      <c r="C18" s="37"/>
      <c r="D18" s="37"/>
      <c r="E18" s="37"/>
      <c r="F18" s="37"/>
      <c r="G18">
        <f t="shared" si="7"/>
        <v>0.63268471500298518</v>
      </c>
      <c r="H18">
        <f t="shared" si="8"/>
        <v>0.37092585809265499</v>
      </c>
      <c r="I18">
        <v>0.255</v>
      </c>
      <c r="U18">
        <f t="shared" si="0"/>
        <v>16.69933819106544</v>
      </c>
      <c r="V18" s="25">
        <v>17</v>
      </c>
      <c r="W18">
        <f t="shared" si="1"/>
        <v>-5.6230692057354252E-2</v>
      </c>
      <c r="X18" cm="1">
        <f t="array" ref="X18">SolveT_Newton(W18,$C$2)</f>
        <v>1.7759576790731741</v>
      </c>
      <c r="Y18">
        <f t="shared" si="2"/>
        <v>12.899839696368844</v>
      </c>
      <c r="Z18">
        <f t="shared" si="9"/>
        <v>64.499198481844218</v>
      </c>
      <c r="AA18" s="5">
        <v>65</v>
      </c>
      <c r="AB18">
        <f t="shared" si="10"/>
        <v>0.50080151815578233</v>
      </c>
      <c r="AC18">
        <f t="shared" si="11"/>
        <v>0.77046387408581896</v>
      </c>
      <c r="AE18">
        <f t="shared" si="3"/>
        <v>16.69933819106544</v>
      </c>
      <c r="AF18" s="25">
        <v>17</v>
      </c>
      <c r="AG18">
        <f t="shared" si="4"/>
        <v>-3.5868947106453671E-2</v>
      </c>
      <c r="AH18" cm="1">
        <f t="array" ref="AH18">SolveT_Newton(AG18,$C$2)</f>
        <v>1.4017435306406336</v>
      </c>
      <c r="AI18">
        <f t="shared" si="5"/>
        <v>14.537861612023717</v>
      </c>
      <c r="AJ18">
        <f t="shared" si="12"/>
        <v>72.689308060118577</v>
      </c>
      <c r="AK18" s="5">
        <v>74</v>
      </c>
      <c r="AL18">
        <f t="shared" si="13"/>
        <v>1.3106919398814227</v>
      </c>
      <c r="AM18">
        <f t="shared" si="14"/>
        <v>1.7712053241640848</v>
      </c>
      <c r="AO18" s="25">
        <f t="shared" si="15"/>
        <v>73</v>
      </c>
      <c r="AP18">
        <f t="shared" si="16"/>
        <v>16.69933819106544</v>
      </c>
      <c r="AQ18" s="25">
        <v>17</v>
      </c>
      <c r="AR18">
        <f t="shared" si="17"/>
        <v>-0.31325758719620217</v>
      </c>
      <c r="AS18" cm="1">
        <f t="array" ref="AS18">SolveT_Newton(AR18,$C$2)</f>
        <v>4.5561346446590534</v>
      </c>
      <c r="AT18">
        <f t="shared" si="6"/>
        <v>19.103590394095889</v>
      </c>
      <c r="AU18">
        <f t="shared" si="18"/>
        <v>95.517951970479444</v>
      </c>
      <c r="AV18" s="5">
        <v>95</v>
      </c>
      <c r="AW18">
        <f t="shared" si="19"/>
        <v>-0.51795197047944441</v>
      </c>
      <c r="AX18">
        <f t="shared" si="20"/>
        <v>-0.54521260050467835</v>
      </c>
    </row>
    <row r="19" spans="1:50" x14ac:dyDescent="0.3">
      <c r="A19" s="37"/>
      <c r="B19" s="37"/>
      <c r="C19" s="37"/>
      <c r="D19" s="37"/>
      <c r="E19" s="37"/>
      <c r="F19" s="37"/>
      <c r="G19">
        <f t="shared" si="7"/>
        <v>0.65169314603006701</v>
      </c>
      <c r="H19">
        <f t="shared" si="8"/>
        <v>0.36672792941877452</v>
      </c>
      <c r="I19">
        <v>0.27</v>
      </c>
      <c r="U19">
        <f t="shared" si="0"/>
        <v>17.69933819106544</v>
      </c>
      <c r="V19" s="25">
        <v>18</v>
      </c>
      <c r="W19">
        <f t="shared" si="1"/>
        <v>-5.9529836452723542E-2</v>
      </c>
      <c r="X19" cm="1">
        <f t="array" ref="X19">SolveT_Newton(W19,$C$2)</f>
        <v>1.8304409917250901</v>
      </c>
      <c r="Y19">
        <f t="shared" si="2"/>
        <v>13.333471128972274</v>
      </c>
      <c r="Z19">
        <f t="shared" si="9"/>
        <v>66.667355644861374</v>
      </c>
      <c r="AA19" s="5">
        <v>67</v>
      </c>
      <c r="AB19">
        <f t="shared" si="10"/>
        <v>0.33264435513862622</v>
      </c>
      <c r="AC19">
        <f t="shared" si="11"/>
        <v>0.49648411214720334</v>
      </c>
      <c r="AE19">
        <f t="shared" si="3"/>
        <v>17.69933819106544</v>
      </c>
      <c r="AF19" s="25">
        <v>18</v>
      </c>
      <c r="AG19">
        <f t="shared" si="4"/>
        <v>-3.794877701654626E-2</v>
      </c>
      <c r="AH19" cm="1">
        <f t="array" ref="AH19">SolveT_Newton(AG19,$C$2)</f>
        <v>1.4437359480151843</v>
      </c>
      <c r="AI19">
        <f t="shared" si="5"/>
        <v>15.020224487242572</v>
      </c>
      <c r="AJ19">
        <f t="shared" si="12"/>
        <v>75.101122436212862</v>
      </c>
      <c r="AK19" s="5">
        <v>76</v>
      </c>
      <c r="AL19">
        <f t="shared" si="13"/>
        <v>0.89887756378713846</v>
      </c>
      <c r="AM19">
        <f t="shared" si="14"/>
        <v>1.1827336365620242</v>
      </c>
      <c r="AO19" s="25">
        <f t="shared" si="15"/>
        <v>72</v>
      </c>
      <c r="AP19">
        <f t="shared" si="16"/>
        <v>17.69933819106544</v>
      </c>
      <c r="AQ19" s="25">
        <v>18</v>
      </c>
      <c r="AR19">
        <f t="shared" si="17"/>
        <v>-0.31241123131243487</v>
      </c>
      <c r="AS19" cm="1">
        <f t="array" ref="AS19">SolveT_Newton(AR19,$C$2)</f>
        <v>4.5490543556300347</v>
      </c>
      <c r="AT19">
        <f t="shared" si="6"/>
        <v>19.175191187232681</v>
      </c>
      <c r="AU19">
        <f t="shared" si="18"/>
        <v>95.875955936163408</v>
      </c>
      <c r="AV19" s="5">
        <v>95</v>
      </c>
      <c r="AW19">
        <f t="shared" si="19"/>
        <v>-0.8759559361634075</v>
      </c>
      <c r="AX19">
        <f t="shared" si="20"/>
        <v>-0.92205888017200788</v>
      </c>
    </row>
    <row r="20" spans="1:50" x14ac:dyDescent="0.3">
      <c r="G20">
        <f t="shared" si="7"/>
        <v>0.67064463721653345</v>
      </c>
      <c r="H20">
        <f t="shared" si="8"/>
        <v>0.3609699357983841</v>
      </c>
      <c r="I20">
        <v>0.28499999999999998</v>
      </c>
      <c r="U20">
        <f t="shared" si="0"/>
        <v>18.69933819106544</v>
      </c>
      <c r="V20" s="25">
        <v>19</v>
      </c>
      <c r="W20">
        <f t="shared" si="1"/>
        <v>-6.2828980848092839E-2</v>
      </c>
      <c r="X20" cm="1">
        <f t="array" ref="X20">SolveT_Newton(W20,$C$2)</f>
        <v>1.8836131185091238</v>
      </c>
      <c r="Y20">
        <f t="shared" si="2"/>
        <v>13.757612725288901</v>
      </c>
      <c r="Z20">
        <f t="shared" si="9"/>
        <v>68.788063626444512</v>
      </c>
      <c r="AA20" s="5">
        <v>69</v>
      </c>
      <c r="AB20">
        <f t="shared" si="10"/>
        <v>0.21193637355548844</v>
      </c>
      <c r="AC20">
        <f t="shared" si="11"/>
        <v>0.30715416457317163</v>
      </c>
      <c r="AE20">
        <f t="shared" si="3"/>
        <v>18.69933819106544</v>
      </c>
      <c r="AF20" s="25">
        <v>19</v>
      </c>
      <c r="AG20">
        <f t="shared" si="4"/>
        <v>-4.0028606926638843E-2</v>
      </c>
      <c r="AH20" cm="1">
        <f t="array" ref="AH20">SolveT_Newton(AG20,$C$2)</f>
        <v>1.4847002060331018</v>
      </c>
      <c r="AI20">
        <f t="shared" si="5"/>
        <v>15.491268513378371</v>
      </c>
      <c r="AJ20">
        <f t="shared" si="12"/>
        <v>77.456342566891848</v>
      </c>
      <c r="AK20" s="5">
        <v>78</v>
      </c>
      <c r="AL20">
        <f t="shared" si="13"/>
        <v>0.54365743310815162</v>
      </c>
      <c r="AM20">
        <f t="shared" si="14"/>
        <v>0.69699670911301492</v>
      </c>
      <c r="AO20" s="25">
        <f t="shared" si="15"/>
        <v>71</v>
      </c>
      <c r="AP20">
        <f t="shared" si="16"/>
        <v>18.69933819106544</v>
      </c>
      <c r="AQ20" s="25">
        <v>19</v>
      </c>
      <c r="AR20">
        <f t="shared" si="17"/>
        <v>-0.31146185765695977</v>
      </c>
      <c r="AS20" cm="1">
        <f t="array" ref="AS20">SolveT_Newton(AR20,$C$2)</f>
        <v>4.5411042098007721</v>
      </c>
      <c r="AT20">
        <f t="shared" si="6"/>
        <v>19.249318043492902</v>
      </c>
      <c r="AU20">
        <f t="shared" si="18"/>
        <v>96.246590217464515</v>
      </c>
      <c r="AV20" s="5">
        <v>95</v>
      </c>
      <c r="AW20">
        <f t="shared" si="19"/>
        <v>-1.2465902174645151</v>
      </c>
      <c r="AX20">
        <f t="shared" si="20"/>
        <v>-1.3122002289100159</v>
      </c>
    </row>
    <row r="21" spans="1:50" ht="14.5" x14ac:dyDescent="0.3">
      <c r="A21" s="34" t="s">
        <v>35</v>
      </c>
      <c r="B21" s="34"/>
      <c r="C21" s="27" t="s">
        <v>36</v>
      </c>
      <c r="D21" s="28"/>
      <c r="E21">
        <v>0.36055512754639801</v>
      </c>
      <c r="G21">
        <f t="shared" si="7"/>
        <v>0.68953935912593278</v>
      </c>
      <c r="H21">
        <f t="shared" si="8"/>
        <v>0.353656550413041</v>
      </c>
      <c r="I21">
        <v>0.3</v>
      </c>
      <c r="U21">
        <f t="shared" si="0"/>
        <v>19.69933819106544</v>
      </c>
      <c r="V21" s="25">
        <v>20</v>
      </c>
      <c r="W21">
        <f t="shared" si="1"/>
        <v>-6.6128125243462121E-2</v>
      </c>
      <c r="X21" cm="1">
        <f t="array" ref="X21">SolveT_Newton(W21,$C$2)</f>
        <v>1.9355768895216492</v>
      </c>
      <c r="Y21">
        <f t="shared" si="2"/>
        <v>14.173046578252066</v>
      </c>
      <c r="Z21">
        <f t="shared" si="9"/>
        <v>70.865232891260334</v>
      </c>
      <c r="AA21" s="5">
        <v>72</v>
      </c>
      <c r="AB21">
        <f t="shared" si="10"/>
        <v>1.1347671087396662</v>
      </c>
      <c r="AC21">
        <f t="shared" si="11"/>
        <v>1.5760654288050919</v>
      </c>
      <c r="AE21">
        <f t="shared" si="3"/>
        <v>19.69933819106544</v>
      </c>
      <c r="AF21" s="25">
        <v>20</v>
      </c>
      <c r="AG21">
        <f t="shared" si="4"/>
        <v>-4.2108436836731426E-2</v>
      </c>
      <c r="AH21" cm="1">
        <f t="array" ref="AH21">SolveT_Newton(AG21,$C$2)</f>
        <v>1.5247158601468624</v>
      </c>
      <c r="AI21">
        <f t="shared" si="5"/>
        <v>15.951923416859424</v>
      </c>
      <c r="AJ21">
        <f t="shared" si="12"/>
        <v>79.759617084297119</v>
      </c>
      <c r="AK21" s="5">
        <v>80</v>
      </c>
      <c r="AL21">
        <f t="shared" si="13"/>
        <v>0.24038291570288095</v>
      </c>
      <c r="AM21">
        <f t="shared" si="14"/>
        <v>0.30047864462860119</v>
      </c>
      <c r="AO21" s="25">
        <f t="shared" si="15"/>
        <v>70</v>
      </c>
      <c r="AP21">
        <f t="shared" si="16"/>
        <v>19.69933819106544</v>
      </c>
      <c r="AQ21" s="25">
        <v>20</v>
      </c>
      <c r="AR21">
        <f t="shared" si="17"/>
        <v>-0.31041423181879502</v>
      </c>
      <c r="AS21" cm="1">
        <f t="array" ref="AS21">SolveT_Newton(AR21,$C$2)</f>
        <v>4.5323213649907919</v>
      </c>
      <c r="AT21">
        <f t="shared" si="6"/>
        <v>19.32623360594846</v>
      </c>
      <c r="AU21">
        <f t="shared" si="18"/>
        <v>96.631168029742298</v>
      </c>
      <c r="AV21" s="5">
        <v>95</v>
      </c>
      <c r="AW21">
        <f t="shared" si="19"/>
        <v>-1.6311680297422981</v>
      </c>
      <c r="AX21">
        <f t="shared" si="20"/>
        <v>-1.7170189786761034</v>
      </c>
    </row>
    <row r="22" spans="1:50" ht="14.5" x14ac:dyDescent="0.3">
      <c r="C22" s="27" t="s">
        <v>88</v>
      </c>
      <c r="D22" s="28"/>
      <c r="E22">
        <v>33.5</v>
      </c>
      <c r="G22">
        <f t="shared" si="7"/>
        <v>0.70837748181089022</v>
      </c>
      <c r="H22">
        <f t="shared" si="8"/>
        <v>0.34479243244577928</v>
      </c>
      <c r="I22">
        <v>0.315</v>
      </c>
      <c r="V22" s="26"/>
      <c r="X22" s="2"/>
      <c r="AA22" s="5"/>
      <c r="AF22" s="26"/>
      <c r="AI22" s="2"/>
      <c r="AK22" s="5"/>
      <c r="AO22" s="26"/>
      <c r="AQ22" s="26"/>
      <c r="AV22" s="5"/>
    </row>
    <row r="23" spans="1:50" ht="14.5" x14ac:dyDescent="0.3">
      <c r="C23" s="27" t="s">
        <v>87</v>
      </c>
      <c r="D23" s="28"/>
      <c r="E23">
        <f>COS(RADIANS(E22))*E21</f>
        <v>0.30066180893456079</v>
      </c>
      <c r="F23">
        <f>SIN(RADIANS(E22))*E21</f>
        <v>0.19900371013676355</v>
      </c>
      <c r="G23">
        <f t="shared" si="7"/>
        <v>0.72715917481463666</v>
      </c>
      <c r="H23">
        <f t="shared" si="8"/>
        <v>0.33438222712301047</v>
      </c>
      <c r="I23">
        <v>0.33</v>
      </c>
      <c r="U23" s="14" t="s">
        <v>31</v>
      </c>
      <c r="V23" s="26"/>
      <c r="W23" s="2" t="s">
        <v>13</v>
      </c>
      <c r="X23" s="1" t="s">
        <v>11</v>
      </c>
      <c r="Y23" s="2" t="s">
        <v>14</v>
      </c>
      <c r="Z23" s="11" t="s">
        <v>25</v>
      </c>
      <c r="AA23" s="23">
        <v>50</v>
      </c>
      <c r="AB23" t="s">
        <v>122</v>
      </c>
      <c r="AC23" t="s">
        <v>123</v>
      </c>
      <c r="AE23" s="14" t="s">
        <v>31</v>
      </c>
      <c r="AF23" s="26"/>
      <c r="AG23" s="2" t="s">
        <v>13</v>
      </c>
      <c r="AH23" s="1" t="s">
        <v>11</v>
      </c>
      <c r="AI23" s="2" t="s">
        <v>14</v>
      </c>
      <c r="AJ23" s="11" t="s">
        <v>25</v>
      </c>
      <c r="AK23" s="23">
        <v>65</v>
      </c>
      <c r="AL23" t="s">
        <v>122</v>
      </c>
      <c r="AM23" t="s">
        <v>123</v>
      </c>
      <c r="AO23" s="26"/>
      <c r="AP23" s="14" t="s">
        <v>31</v>
      </c>
      <c r="AQ23" s="26"/>
      <c r="AR23" s="2" t="s">
        <v>13</v>
      </c>
      <c r="AS23" s="1" t="s">
        <v>11</v>
      </c>
      <c r="AT23" s="2" t="s">
        <v>14</v>
      </c>
      <c r="AU23" s="11" t="s">
        <v>25</v>
      </c>
      <c r="AV23" s="24" t="s">
        <v>124</v>
      </c>
      <c r="AW23" t="s">
        <v>122</v>
      </c>
      <c r="AX23" t="s">
        <v>123</v>
      </c>
    </row>
    <row r="24" spans="1:50" ht="14.25" customHeight="1" x14ac:dyDescent="0.3">
      <c r="B24" s="17" t="s">
        <v>86</v>
      </c>
      <c r="C24" s="27" t="s">
        <v>37</v>
      </c>
      <c r="D24" s="28"/>
      <c r="E24">
        <v>0</v>
      </c>
      <c r="G24">
        <f t="shared" si="7"/>
        <v>0.74588460717253602</v>
      </c>
      <c r="H24">
        <f t="shared" si="8"/>
        <v>0.32243056575637452</v>
      </c>
      <c r="I24">
        <v>0.34499999999999997</v>
      </c>
      <c r="U24">
        <f>ABS(V24-$A$8-COS(RADIANS(AA$1))*$A$2*$E$6)</f>
        <v>0.69933819106543926</v>
      </c>
      <c r="V24" s="25">
        <v>1</v>
      </c>
      <c r="W24">
        <f>$C$2^2*(TAN(RADIANS(AA$23))*U24-$B$6)/($D$2-$E$10*$B$2*TAN(RADIANS($AA$23)))</f>
        <v>-5.8996714958704979E-3</v>
      </c>
      <c r="X24" cm="1">
        <f t="array" ref="X24">SolveT_Newton(W24,$C$2)</f>
        <v>0.55313729881087781</v>
      </c>
      <c r="Y24">
        <f t="shared" ref="Y24:Y43" si="21">(($C$2^2*$B$6+$D$2*W24)^2+($C$2^2*U24+$E$10*$B$2*W24)^2)^0.5/ABS($C$2^2*X24-$C$2*W24)</f>
        <v>2.0777237920988485</v>
      </c>
      <c r="Z24">
        <f>Y24*$E$2</f>
        <v>10.388618960494242</v>
      </c>
      <c r="AA24" s="5">
        <v>14</v>
      </c>
      <c r="AB24">
        <f>AA24-Z24</f>
        <v>3.6113810395057584</v>
      </c>
      <c r="AC24">
        <f>AB24/AA24*100</f>
        <v>25.795578853612561</v>
      </c>
      <c r="AE24">
        <f t="shared" ref="AE24:AE43" si="22">ABS(AF24-$A$8-COS(RADIANS(AK$1))*$A$2*$E$6)</f>
        <v>0.69933819106543926</v>
      </c>
      <c r="AF24" s="25">
        <v>1</v>
      </c>
      <c r="AG24">
        <f t="shared" ref="AG24:AG43" si="23">$C$2^2*(TAN(RADIANS(AK$23))*AE24-$B$6)/($D$2-$E$10*$B$2*TAN(RADIANS($AA$23)))</f>
        <v>-9.7070817180184826E-3</v>
      </c>
      <c r="AH24" cm="1">
        <f t="array" ref="AH24">SolveT_Newton(AG24,$C$2)</f>
        <v>0.71323479792279965</v>
      </c>
      <c r="AI24">
        <f t="shared" ref="AI24:AI43" si="24">(($C$2^2*$B$6+$D$2*AG24)^2+($C$2^2*AE24+$E$10*$B$2*AG24)^2)^0.5/ABS($C$2^2*AH24-$C$2*AG24)</f>
        <v>2.4895090343309603</v>
      </c>
      <c r="AJ24">
        <f>AI24*$E$2</f>
        <v>12.447545171654802</v>
      </c>
      <c r="AK24" s="5">
        <v>13</v>
      </c>
      <c r="AL24">
        <f>AK24-AJ24</f>
        <v>0.55245482834519777</v>
      </c>
      <c r="AM24">
        <f>AL24/AK24*100</f>
        <v>4.2496525257322908</v>
      </c>
      <c r="AO24" s="25">
        <f>90-AQ24*2</f>
        <v>88</v>
      </c>
      <c r="AP24">
        <f>ABS(AQ24-$A$8-COS(RADIANS(AO24))*$A$2*$E$6)</f>
        <v>0.69933819106543926</v>
      </c>
      <c r="AQ24" s="25">
        <v>1</v>
      </c>
      <c r="AR24">
        <f>$C$2^2*(TAN(RADIANS(AO24))*AP24-$B$6)/($D$2-$E$10*$B$2*TAN(RADIANS($AA$1)))</f>
        <v>-0.11557388159944372</v>
      </c>
      <c r="AS24" cm="1">
        <f t="array" ref="AS24">SolveT_Newton(AR24,$C$2)</f>
        <v>2.612964121205549</v>
      </c>
      <c r="AT24">
        <f t="shared" ref="AT24:AT43" si="25">(($C$2^2*$B$6+$D$2*AR24)^2+($C$2^2*AP24+$E$10*$B$2*AR24)^2)^0.5/ABS($C$2^2*AS24-$C$2*AR24)</f>
        <v>9.8465356099848407</v>
      </c>
      <c r="AU24">
        <f>AT24*$E$2</f>
        <v>49.232678049924203</v>
      </c>
      <c r="AV24" s="5">
        <v>60</v>
      </c>
      <c r="AW24">
        <f>AV24-AU24</f>
        <v>10.767321950075797</v>
      </c>
      <c r="AX24">
        <f>AW24/AV24*100</f>
        <v>17.945536583459663</v>
      </c>
    </row>
    <row r="25" spans="1:50" ht="14.5" x14ac:dyDescent="0.3">
      <c r="C25" s="27" t="s">
        <v>85</v>
      </c>
      <c r="D25" s="28"/>
      <c r="E25">
        <v>0</v>
      </c>
      <c r="G25">
        <f t="shared" si="7"/>
        <v>0.76455394741360627</v>
      </c>
      <c r="H25">
        <f t="shared" si="8"/>
        <v>0.30894206578437233</v>
      </c>
      <c r="I25">
        <v>0.36</v>
      </c>
      <c r="U25">
        <f t="shared" ref="U25:U43" si="26">ABS(V25-$A$8-COS(RADIANS(AA$1))*$A$2*$E$6)</f>
        <v>1.6993381910654393</v>
      </c>
      <c r="V25" s="25">
        <v>2</v>
      </c>
      <c r="W25">
        <f t="shared" ref="W25:W43" si="27">$C$2^2*(TAN(RADIANS(AA$23))*U25-$B$6)/($D$2-$E$10*$B$2*TAN(RADIANS($AA$23)))</f>
        <v>-1.2709692024980268E-2</v>
      </c>
      <c r="X25" cm="1">
        <f t="array" ref="X25">SolveT_Newton(W25,$C$2)</f>
        <v>0.81893065914372132</v>
      </c>
      <c r="Y25">
        <f t="shared" si="21"/>
        <v>3.4998189223525888</v>
      </c>
      <c r="Z25">
        <f t="shared" ref="Z25:Z43" si="28">Y25*$E$2</f>
        <v>17.499094611762946</v>
      </c>
      <c r="AA25" s="5">
        <v>20</v>
      </c>
      <c r="AB25">
        <f t="shared" ref="AB25:AB43" si="29">AA25-Z25</f>
        <v>2.5009053882370544</v>
      </c>
      <c r="AC25">
        <f t="shared" ref="AC25:AC43" si="30">AB25/AA25*100</f>
        <v>12.504526941185274</v>
      </c>
      <c r="AE25">
        <f t="shared" si="22"/>
        <v>1.6993381910654393</v>
      </c>
      <c r="AF25" s="25">
        <v>2</v>
      </c>
      <c r="AG25">
        <f t="shared" si="23"/>
        <v>-2.1961406978073104E-2</v>
      </c>
      <c r="AH25" cm="1">
        <f t="array" ref="AH25">SolveT_Newton(AG25,$C$2)</f>
        <v>1.0858055370499888</v>
      </c>
      <c r="AI25">
        <f t="shared" si="24"/>
        <v>4.1198595173181118</v>
      </c>
      <c r="AJ25">
        <f t="shared" ref="AJ25:AJ43" si="31">AI25*$E$2</f>
        <v>20.599297586590559</v>
      </c>
      <c r="AK25" s="5">
        <v>20</v>
      </c>
      <c r="AL25">
        <f t="shared" ref="AL25:AL43" si="32">AK25-AJ25</f>
        <v>-0.59929758659055921</v>
      </c>
      <c r="AM25">
        <f t="shared" ref="AM25:AM43" si="33">AL25/AK25*100</f>
        <v>-2.996487932952796</v>
      </c>
      <c r="AO25" s="25">
        <f t="shared" ref="AO25:AO43" si="34">90-AQ25*2</f>
        <v>86</v>
      </c>
      <c r="AP25">
        <f t="shared" ref="AP25:AP43" si="35">ABS(AQ25-$A$8-COS(RADIANS(AO25))*$A$2*$E$6)</f>
        <v>1.6993381910654393</v>
      </c>
      <c r="AQ25" s="25">
        <v>2</v>
      </c>
      <c r="AR25">
        <f t="shared" ref="AR25:AR43" si="36">$C$2^2*(TAN(RADIANS(AO25))*AP25-$B$6)/($D$2-$E$10*$B$2*TAN(RADIANS($AA$1)))</f>
        <v>-0.14000384021627549</v>
      </c>
      <c r="AS25" cm="1">
        <f t="array" ref="AS25">SolveT_Newton(AR25,$C$2)</f>
        <v>2.9011981048235858</v>
      </c>
      <c r="AT25">
        <f t="shared" si="25"/>
        <v>11.067256043365754</v>
      </c>
      <c r="AU25">
        <f t="shared" ref="AU25:AU43" si="37">AT25*$E$2</f>
        <v>55.336280216828769</v>
      </c>
      <c r="AV25" s="5">
        <v>60</v>
      </c>
      <c r="AW25">
        <f t="shared" ref="AW25:AW43" si="38">AV25-AU25</f>
        <v>4.6637197831712314</v>
      </c>
      <c r="AX25">
        <f t="shared" ref="AX25:AX43" si="39">AW25/AV25*100</f>
        <v>7.772866305285385</v>
      </c>
    </row>
    <row r="26" spans="1:50" ht="14.5" x14ac:dyDescent="0.3">
      <c r="C26" s="27" t="s">
        <v>84</v>
      </c>
      <c r="D26" s="28"/>
      <c r="E26">
        <v>0</v>
      </c>
      <c r="G26">
        <f t="shared" si="7"/>
        <v>0.78316736356203531</v>
      </c>
      <c r="H26">
        <f t="shared" si="8"/>
        <v>0.29392133081396976</v>
      </c>
      <c r="I26">
        <v>0.375</v>
      </c>
      <c r="U26">
        <f t="shared" si="26"/>
        <v>2.699338191065439</v>
      </c>
      <c r="V26" s="25">
        <v>3</v>
      </c>
      <c r="W26">
        <f t="shared" si="27"/>
        <v>-1.9519712554090043E-2</v>
      </c>
      <c r="X26" cm="1">
        <f t="array" ref="X26">SolveT_Newton(W26,$C$2)</f>
        <v>1.0215525846268796</v>
      </c>
      <c r="Y26">
        <f t="shared" si="21"/>
        <v>4.5450581319589993</v>
      </c>
      <c r="Z26">
        <f t="shared" si="28"/>
        <v>22.725290659794997</v>
      </c>
      <c r="AA26" s="5">
        <v>24</v>
      </c>
      <c r="AB26">
        <f t="shared" si="29"/>
        <v>1.2747093402050034</v>
      </c>
      <c r="AC26">
        <f t="shared" si="30"/>
        <v>5.311288917520848</v>
      </c>
      <c r="AE26">
        <f t="shared" si="22"/>
        <v>2.699338191065439</v>
      </c>
      <c r="AF26" s="25">
        <v>3</v>
      </c>
      <c r="AG26">
        <f t="shared" si="23"/>
        <v>-3.4215732238127725E-2</v>
      </c>
      <c r="AH26" cm="1">
        <f t="array" ref="AH26">SolveT_Newton(AG26,$C$2)</f>
        <v>1.3675709565551986</v>
      </c>
      <c r="AI26">
        <f t="shared" si="24"/>
        <v>5.3382527626029788</v>
      </c>
      <c r="AJ26">
        <f t="shared" si="31"/>
        <v>26.691263813014892</v>
      </c>
      <c r="AK26" s="5">
        <v>26</v>
      </c>
      <c r="AL26">
        <f t="shared" si="32"/>
        <v>-0.69126381301489204</v>
      </c>
      <c r="AM26">
        <f t="shared" si="33"/>
        <v>-2.6587069731342003</v>
      </c>
      <c r="AO26" s="25">
        <f t="shared" si="34"/>
        <v>84</v>
      </c>
      <c r="AP26">
        <f t="shared" si="35"/>
        <v>2.699338191065439</v>
      </c>
      <c r="AQ26" s="25">
        <v>3</v>
      </c>
      <c r="AR26">
        <f t="shared" si="36"/>
        <v>-0.14789423454363018</v>
      </c>
      <c r="AS26" cm="1">
        <f t="array" ref="AS26">SolveT_Newton(AR26,$C$2)</f>
        <v>2.9898208853380939</v>
      </c>
      <c r="AT26">
        <f t="shared" si="25"/>
        <v>11.475529119010092</v>
      </c>
      <c r="AU26">
        <f t="shared" si="37"/>
        <v>57.37764559505046</v>
      </c>
      <c r="AV26" s="5">
        <v>60</v>
      </c>
      <c r="AW26">
        <f t="shared" si="38"/>
        <v>2.6223544049495402</v>
      </c>
      <c r="AX26">
        <f t="shared" si="39"/>
        <v>4.3705906749159</v>
      </c>
    </row>
    <row r="27" spans="1:50" ht="14.5" x14ac:dyDescent="0.3">
      <c r="A27" t="s">
        <v>52</v>
      </c>
      <c r="B27" s="17" t="s">
        <v>44</v>
      </c>
      <c r="C27" s="27" t="s">
        <v>83</v>
      </c>
      <c r="D27" s="28"/>
      <c r="E27">
        <v>0</v>
      </c>
      <c r="F27" s="16" t="s">
        <v>53</v>
      </c>
      <c r="G27">
        <f t="shared" si="7"/>
        <v>0.80172502313869387</v>
      </c>
      <c r="H27">
        <f t="shared" si="8"/>
        <v>0.27737295066196721</v>
      </c>
      <c r="I27">
        <v>0.39</v>
      </c>
      <c r="U27">
        <f t="shared" si="26"/>
        <v>3.699338191065439</v>
      </c>
      <c r="V27" s="25">
        <v>4</v>
      </c>
      <c r="W27">
        <f t="shared" si="27"/>
        <v>-2.632973308319982E-2</v>
      </c>
      <c r="X27" cm="1">
        <f t="array" ref="X27">SolveT_Newton(W27,$C$2)</f>
        <v>1.1929958014738091</v>
      </c>
      <c r="Y27">
        <f t="shared" si="21"/>
        <v>5.422494085047143</v>
      </c>
      <c r="Z27">
        <f t="shared" si="28"/>
        <v>27.112470425235713</v>
      </c>
      <c r="AA27" s="5">
        <v>28</v>
      </c>
      <c r="AB27">
        <f t="shared" si="29"/>
        <v>0.88752957476428662</v>
      </c>
      <c r="AC27">
        <f t="shared" si="30"/>
        <v>3.1697484813010233</v>
      </c>
      <c r="AE27">
        <f t="shared" si="22"/>
        <v>3.699338191065439</v>
      </c>
      <c r="AF27" s="25">
        <v>4</v>
      </c>
      <c r="AG27">
        <f t="shared" si="23"/>
        <v>-4.6470057498182352E-2</v>
      </c>
      <c r="AH27" cm="1">
        <f t="array" ref="AH27">SolveT_Newton(AG27,$C$2)</f>
        <v>1.6058521474125331</v>
      </c>
      <c r="AI27">
        <f t="shared" si="24"/>
        <v>6.373038246060367</v>
      </c>
      <c r="AJ27">
        <f t="shared" si="31"/>
        <v>31.865191230301836</v>
      </c>
      <c r="AK27" s="5">
        <v>31</v>
      </c>
      <c r="AL27">
        <f t="shared" si="32"/>
        <v>-0.86519123030183565</v>
      </c>
      <c r="AM27">
        <f t="shared" si="33"/>
        <v>-2.7909394525865667</v>
      </c>
      <c r="AO27" s="25">
        <f t="shared" si="34"/>
        <v>82</v>
      </c>
      <c r="AP27">
        <f t="shared" si="35"/>
        <v>3.699338191065439</v>
      </c>
      <c r="AQ27" s="25">
        <v>4</v>
      </c>
      <c r="AR27">
        <f t="shared" si="36"/>
        <v>-0.15154950095830491</v>
      </c>
      <c r="AS27" cm="1">
        <f t="array" ref="AS27">SolveT_Newton(AR27,$C$2)</f>
        <v>3.030229664888564</v>
      </c>
      <c r="AT27">
        <f t="shared" si="25"/>
        <v>11.696831926915374</v>
      </c>
      <c r="AU27">
        <f t="shared" si="37"/>
        <v>58.484159634576869</v>
      </c>
      <c r="AV27" s="5">
        <v>60</v>
      </c>
      <c r="AW27">
        <f t="shared" si="38"/>
        <v>1.5158403654231307</v>
      </c>
      <c r="AX27">
        <f t="shared" si="39"/>
        <v>2.5264006090385513</v>
      </c>
    </row>
    <row r="28" spans="1:50" ht="14.5" x14ac:dyDescent="0.3">
      <c r="C28" s="35" t="s">
        <v>82</v>
      </c>
      <c r="D28" s="36"/>
      <c r="E28">
        <f>E27</f>
        <v>0</v>
      </c>
      <c r="G28">
        <f t="shared" si="7"/>
        <v>0.82022709316264386</v>
      </c>
      <c r="H28">
        <f t="shared" si="8"/>
        <v>0.25930150139640296</v>
      </c>
      <c r="I28">
        <v>0.40500000000000003</v>
      </c>
      <c r="U28">
        <f t="shared" si="26"/>
        <v>4.699338191065439</v>
      </c>
      <c r="V28" s="25">
        <v>5</v>
      </c>
      <c r="W28">
        <f t="shared" si="27"/>
        <v>-3.3139753612309586E-2</v>
      </c>
      <c r="X28" cm="1">
        <f t="array" ref="X28">SolveT_Newton(W28,$C$2)</f>
        <v>1.3449257574732951</v>
      </c>
      <c r="Y28">
        <f t="shared" si="21"/>
        <v>6.1997159664422306</v>
      </c>
      <c r="Z28">
        <f t="shared" si="28"/>
        <v>30.998579832211153</v>
      </c>
      <c r="AA28" s="5">
        <v>32</v>
      </c>
      <c r="AB28">
        <f t="shared" si="29"/>
        <v>1.0014201677888472</v>
      </c>
      <c r="AC28">
        <f t="shared" si="30"/>
        <v>3.1294380243401476</v>
      </c>
      <c r="AE28">
        <f t="shared" si="22"/>
        <v>4.699338191065439</v>
      </c>
      <c r="AF28" s="25">
        <v>5</v>
      </c>
      <c r="AG28">
        <f t="shared" si="23"/>
        <v>-5.8724382758236972E-2</v>
      </c>
      <c r="AH28" cm="1">
        <f t="array" ref="AH28">SolveT_Newton(AG28,$C$2)</f>
        <v>1.817264648112983</v>
      </c>
      <c r="AI28">
        <f t="shared" si="24"/>
        <v>7.2980241476474292</v>
      </c>
      <c r="AJ28">
        <f t="shared" si="31"/>
        <v>36.490120738237145</v>
      </c>
      <c r="AK28" s="5">
        <v>37</v>
      </c>
      <c r="AL28">
        <f t="shared" si="32"/>
        <v>0.5098792617628547</v>
      </c>
      <c r="AM28">
        <f t="shared" si="33"/>
        <v>1.3780520588185261</v>
      </c>
      <c r="AO28" s="25">
        <f t="shared" si="34"/>
        <v>80</v>
      </c>
      <c r="AP28">
        <f t="shared" si="35"/>
        <v>4.699338191065439</v>
      </c>
      <c r="AQ28" s="25">
        <v>5</v>
      </c>
      <c r="AR28">
        <f t="shared" si="36"/>
        <v>-0.15343014261349344</v>
      </c>
      <c r="AS28" cm="1">
        <f t="array" ref="AS28">SolveT_Newton(AR28,$C$2)</f>
        <v>3.0508679021646281</v>
      </c>
      <c r="AT28">
        <f t="shared" si="25"/>
        <v>11.85015823947799</v>
      </c>
      <c r="AU28">
        <f t="shared" si="37"/>
        <v>59.250791197389951</v>
      </c>
      <c r="AV28" s="5">
        <v>60</v>
      </c>
      <c r="AW28">
        <f t="shared" si="38"/>
        <v>0.74920880261004896</v>
      </c>
      <c r="AX28">
        <f t="shared" si="39"/>
        <v>1.2486813376834149</v>
      </c>
    </row>
    <row r="29" spans="1:50" x14ac:dyDescent="0.3">
      <c r="G29">
        <f t="shared" si="7"/>
        <v>0.83867374015264029</v>
      </c>
      <c r="H29">
        <f t="shared" si="8"/>
        <v>0.23971154537764383</v>
      </c>
      <c r="I29">
        <v>0.42</v>
      </c>
      <c r="U29">
        <f t="shared" si="26"/>
        <v>5.699338191065439</v>
      </c>
      <c r="V29" s="25">
        <v>6</v>
      </c>
      <c r="W29">
        <f t="shared" si="27"/>
        <v>-3.9949774141419363E-2</v>
      </c>
      <c r="X29" cm="1">
        <f t="array" ref="X29">SolveT_Newton(W29,$C$2)</f>
        <v>1.4831652840250071</v>
      </c>
      <c r="Y29">
        <f t="shared" si="21"/>
        <v>6.9085887706967579</v>
      </c>
      <c r="Z29">
        <f t="shared" si="28"/>
        <v>34.542943853483791</v>
      </c>
      <c r="AA29" s="5">
        <v>35</v>
      </c>
      <c r="AB29">
        <f t="shared" si="29"/>
        <v>0.45705614651620863</v>
      </c>
      <c r="AC29">
        <f t="shared" si="30"/>
        <v>1.3058747043320245</v>
      </c>
      <c r="AE29">
        <f t="shared" si="22"/>
        <v>5.699338191065439</v>
      </c>
      <c r="AF29" s="25">
        <v>6</v>
      </c>
      <c r="AG29">
        <f t="shared" si="23"/>
        <v>-7.0978708018291592E-2</v>
      </c>
      <c r="AH29" cm="1">
        <f t="array" ref="AH29">SolveT_Newton(AG29,$C$2)</f>
        <v>2.0099692210543081</v>
      </c>
      <c r="AI29">
        <f t="shared" si="24"/>
        <v>8.1481367926179082</v>
      </c>
      <c r="AJ29">
        <f t="shared" si="31"/>
        <v>40.740683963089538</v>
      </c>
      <c r="AK29" s="5">
        <v>41</v>
      </c>
      <c r="AL29">
        <f t="shared" si="32"/>
        <v>0.25931603691046234</v>
      </c>
      <c r="AM29">
        <f t="shared" si="33"/>
        <v>0.63247813880600567</v>
      </c>
      <c r="AO29" s="25">
        <f t="shared" si="34"/>
        <v>78</v>
      </c>
      <c r="AP29">
        <f t="shared" si="35"/>
        <v>5.699338191065439</v>
      </c>
      <c r="AQ29" s="25">
        <v>6</v>
      </c>
      <c r="AR29">
        <f t="shared" si="36"/>
        <v>-0.15435589581670678</v>
      </c>
      <c r="AS29" cm="1">
        <f t="array" ref="AS29">SolveT_Newton(AR29,$C$2)</f>
        <v>3.0609900043038607</v>
      </c>
      <c r="AT29">
        <f t="shared" si="25"/>
        <v>11.974566051429889</v>
      </c>
      <c r="AU29">
        <f t="shared" si="37"/>
        <v>59.872830257149445</v>
      </c>
      <c r="AV29" s="5">
        <v>60</v>
      </c>
      <c r="AW29">
        <f t="shared" si="38"/>
        <v>0.12716974285055471</v>
      </c>
      <c r="AX29">
        <f t="shared" si="39"/>
        <v>0.21194957141759119</v>
      </c>
    </row>
    <row r="30" spans="1:50" ht="14.5" x14ac:dyDescent="0.3">
      <c r="A30" s="33" t="s">
        <v>81</v>
      </c>
      <c r="B30" s="33"/>
      <c r="C30" s="33"/>
      <c r="D30" s="33"/>
      <c r="G30">
        <f t="shared" si="7"/>
        <v>0.8570651301286305</v>
      </c>
      <c r="H30">
        <f t="shared" si="8"/>
        <v>0.21860763129950433</v>
      </c>
      <c r="I30">
        <v>0.435</v>
      </c>
      <c r="U30">
        <f t="shared" si="26"/>
        <v>6.699338191065439</v>
      </c>
      <c r="V30" s="25">
        <v>7</v>
      </c>
      <c r="W30">
        <f t="shared" si="27"/>
        <v>-4.6759794670529133E-2</v>
      </c>
      <c r="X30" cm="1">
        <f t="array" ref="X30">SolveT_Newton(W30,$C$2)</f>
        <v>1.6111185216833115</v>
      </c>
      <c r="Y30">
        <f t="shared" si="21"/>
        <v>7.5671038435985771</v>
      </c>
      <c r="Z30">
        <f t="shared" si="28"/>
        <v>37.835519217992882</v>
      </c>
      <c r="AA30" s="5">
        <v>39</v>
      </c>
      <c r="AB30">
        <f t="shared" si="29"/>
        <v>1.1644807820071179</v>
      </c>
      <c r="AC30">
        <f t="shared" si="30"/>
        <v>2.98584815899261</v>
      </c>
      <c r="AE30">
        <f t="shared" si="22"/>
        <v>6.699338191065439</v>
      </c>
      <c r="AF30" s="25">
        <v>7</v>
      </c>
      <c r="AG30">
        <f t="shared" si="23"/>
        <v>-8.3233033278346205E-2</v>
      </c>
      <c r="AH30" cm="1">
        <f t="array" ref="AH30">SolveT_Newton(AG30,$C$2)</f>
        <v>2.1886921567400375</v>
      </c>
      <c r="AI30">
        <f t="shared" si="24"/>
        <v>8.9431555739854076</v>
      </c>
      <c r="AJ30">
        <f t="shared" si="31"/>
        <v>44.715777869927038</v>
      </c>
      <c r="AK30" s="5">
        <v>44</v>
      </c>
      <c r="AL30">
        <f t="shared" si="32"/>
        <v>-0.71577786992703807</v>
      </c>
      <c r="AM30">
        <f t="shared" si="33"/>
        <v>-1.6267678861978139</v>
      </c>
      <c r="AO30" s="25">
        <f t="shared" si="34"/>
        <v>76</v>
      </c>
      <c r="AP30">
        <f t="shared" si="35"/>
        <v>6.699338191065439</v>
      </c>
      <c r="AQ30" s="25">
        <v>7</v>
      </c>
      <c r="AR30">
        <f t="shared" si="36"/>
        <v>-0.15467760910954603</v>
      </c>
      <c r="AS30" cm="1">
        <f t="array" ref="AS30">SolveT_Newton(AR30,$C$2)</f>
        <v>3.0645019092463111</v>
      </c>
      <c r="AT30">
        <f t="shared" si="25"/>
        <v>12.086764268214909</v>
      </c>
      <c r="AU30">
        <f t="shared" si="37"/>
        <v>60.433821341074541</v>
      </c>
      <c r="AV30" s="5">
        <v>60</v>
      </c>
      <c r="AW30">
        <f t="shared" si="38"/>
        <v>-0.43382134107454107</v>
      </c>
      <c r="AX30">
        <f t="shared" si="39"/>
        <v>-0.72303556845756844</v>
      </c>
    </row>
    <row r="31" spans="1:50" ht="14.25" customHeight="1" x14ac:dyDescent="0.3">
      <c r="A31" s="33" t="s">
        <v>80</v>
      </c>
      <c r="B31" s="33"/>
      <c r="C31" s="33"/>
      <c r="D31" s="33"/>
      <c r="G31">
        <f t="shared" si="7"/>
        <v>0.8754014286132481</v>
      </c>
      <c r="H31">
        <f t="shared" si="8"/>
        <v>0.19599429423013659</v>
      </c>
      <c r="I31">
        <v>0.45</v>
      </c>
      <c r="U31">
        <f t="shared" si="26"/>
        <v>7.699338191065439</v>
      </c>
      <c r="V31" s="25">
        <v>8</v>
      </c>
      <c r="W31">
        <f t="shared" si="27"/>
        <v>-5.3569815199638902E-2</v>
      </c>
      <c r="X31" cm="1">
        <f t="array" ref="X31">SolveT_Newton(W31,$C$2)</f>
        <v>1.7309797770465543</v>
      </c>
      <c r="Y31">
        <f t="shared" si="21"/>
        <v>8.1865850168507581</v>
      </c>
      <c r="Z31">
        <f t="shared" si="28"/>
        <v>40.932925084253789</v>
      </c>
      <c r="AA31" s="5">
        <v>42</v>
      </c>
      <c r="AB31">
        <f t="shared" si="29"/>
        <v>1.0670749157462112</v>
      </c>
      <c r="AC31">
        <f t="shared" si="30"/>
        <v>2.5406545613005029</v>
      </c>
      <c r="AE31">
        <f t="shared" si="22"/>
        <v>7.699338191065439</v>
      </c>
      <c r="AF31" s="25">
        <v>8</v>
      </c>
      <c r="AG31">
        <f t="shared" si="23"/>
        <v>-9.5487358538400846E-2</v>
      </c>
      <c r="AH31" cm="1">
        <f t="array" ref="AH31">SolveT_Newton(AG31,$C$2)</f>
        <v>2.3564609548044184</v>
      </c>
      <c r="AI31">
        <f t="shared" si="24"/>
        <v>9.6955571856215528</v>
      </c>
      <c r="AJ31">
        <f t="shared" si="31"/>
        <v>48.477785928107764</v>
      </c>
      <c r="AK31" s="5">
        <v>48</v>
      </c>
      <c r="AL31">
        <f t="shared" si="32"/>
        <v>-0.47778592810776388</v>
      </c>
      <c r="AM31">
        <f t="shared" si="33"/>
        <v>-0.99538735022450808</v>
      </c>
      <c r="AO31" s="25">
        <f t="shared" si="34"/>
        <v>74</v>
      </c>
      <c r="AP31">
        <f t="shared" si="35"/>
        <v>7.699338191065439</v>
      </c>
      <c r="AQ31" s="25">
        <v>8</v>
      </c>
      <c r="AR31">
        <f t="shared" si="36"/>
        <v>-0.15457021100385324</v>
      </c>
      <c r="AS31" cm="1">
        <f t="array" ref="AS31">SolveT_Newton(AR31,$C$2)</f>
        <v>3.0633298484243539</v>
      </c>
      <c r="AT31">
        <f t="shared" si="25"/>
        <v>12.195203340014404</v>
      </c>
      <c r="AU31">
        <f t="shared" si="37"/>
        <v>60.976016700072016</v>
      </c>
      <c r="AV31" s="5">
        <v>60</v>
      </c>
      <c r="AW31">
        <f t="shared" si="38"/>
        <v>-0.97601670007201591</v>
      </c>
      <c r="AX31">
        <f t="shared" si="39"/>
        <v>-1.6266945001200264</v>
      </c>
    </row>
    <row r="32" spans="1:50" ht="14.5" x14ac:dyDescent="0.3">
      <c r="A32" s="33" t="s">
        <v>79</v>
      </c>
      <c r="B32" s="33"/>
      <c r="C32" s="33"/>
      <c r="D32" s="33"/>
      <c r="G32">
        <f t="shared" si="7"/>
        <v>0.89368280063330374</v>
      </c>
      <c r="H32">
        <f t="shared" si="8"/>
        <v>0.17187605565292208</v>
      </c>
      <c r="I32">
        <v>0.46500000000000002</v>
      </c>
      <c r="U32">
        <f t="shared" si="26"/>
        <v>8.6993381910654399</v>
      </c>
      <c r="V32" s="25">
        <v>9</v>
      </c>
      <c r="W32">
        <f t="shared" si="27"/>
        <v>-6.0379835728748679E-2</v>
      </c>
      <c r="X32" cm="1">
        <f t="array" ref="X32">SolveT_Newton(W32,$C$2)</f>
        <v>1.8442614060389737</v>
      </c>
      <c r="Y32">
        <f t="shared" si="21"/>
        <v>8.7747012092051406</v>
      </c>
      <c r="Z32">
        <f t="shared" si="28"/>
        <v>43.873506046025703</v>
      </c>
      <c r="AA32" s="5">
        <v>44</v>
      </c>
      <c r="AB32">
        <f t="shared" si="29"/>
        <v>0.12649395397429686</v>
      </c>
      <c r="AC32">
        <f t="shared" si="30"/>
        <v>0.28748625903249286</v>
      </c>
      <c r="AE32">
        <f t="shared" si="22"/>
        <v>8.6993381910654399</v>
      </c>
      <c r="AF32" s="25">
        <v>9</v>
      </c>
      <c r="AG32">
        <f t="shared" si="23"/>
        <v>-0.10774168379845549</v>
      </c>
      <c r="AH32" cm="1">
        <f t="array" ref="AH32">SolveT_Newton(AG32,$C$2)</f>
        <v>2.5153527557881126</v>
      </c>
      <c r="AI32">
        <f t="shared" si="24"/>
        <v>10.413804555980761</v>
      </c>
      <c r="AJ32">
        <f t="shared" si="31"/>
        <v>52.069022779903804</v>
      </c>
      <c r="AK32" s="5">
        <v>53</v>
      </c>
      <c r="AL32">
        <f t="shared" si="32"/>
        <v>0.93097722009619588</v>
      </c>
      <c r="AM32">
        <f t="shared" si="33"/>
        <v>1.7565607926343318</v>
      </c>
      <c r="AO32" s="25">
        <f t="shared" si="34"/>
        <v>72</v>
      </c>
      <c r="AP32">
        <f t="shared" si="35"/>
        <v>8.6993381910654399</v>
      </c>
      <c r="AQ32" s="25">
        <v>9</v>
      </c>
      <c r="AR32">
        <f t="shared" si="36"/>
        <v>-0.15413036368627894</v>
      </c>
      <c r="AS32" cm="1">
        <f t="array" ref="AS32">SolveT_Newton(AR32,$C$2)</f>
        <v>3.0585262951426122</v>
      </c>
      <c r="AT32">
        <f t="shared" si="25"/>
        <v>12.304717777181267</v>
      </c>
      <c r="AU32">
        <f t="shared" si="37"/>
        <v>61.523588885906335</v>
      </c>
      <c r="AV32" s="5">
        <v>60</v>
      </c>
      <c r="AW32">
        <f t="shared" si="38"/>
        <v>-1.5235888859063351</v>
      </c>
      <c r="AX32">
        <f t="shared" si="39"/>
        <v>-2.5393148098438916</v>
      </c>
    </row>
    <row r="33" spans="1:50" ht="14.5" x14ac:dyDescent="0.3">
      <c r="A33" s="32" t="s">
        <v>78</v>
      </c>
      <c r="B33" s="32"/>
      <c r="C33" s="32"/>
      <c r="D33" s="32"/>
      <c r="G33">
        <f t="shared" si="7"/>
        <v>0.91190941072126841</v>
      </c>
      <c r="H33">
        <f t="shared" si="8"/>
        <v>0.14625742350708271</v>
      </c>
      <c r="I33">
        <v>0.48</v>
      </c>
      <c r="U33">
        <f t="shared" si="26"/>
        <v>9.6993381910654399</v>
      </c>
      <c r="V33" s="25">
        <v>10</v>
      </c>
      <c r="W33">
        <f t="shared" si="27"/>
        <v>-6.7189856257858449E-2</v>
      </c>
      <c r="X33" cm="1">
        <f t="array" ref="X33">SolveT_Newton(W33,$C$2)</f>
        <v>1.952058015863084</v>
      </c>
      <c r="Y33">
        <f t="shared" si="21"/>
        <v>9.3369283921339292</v>
      </c>
      <c r="Z33">
        <f t="shared" si="28"/>
        <v>46.684641960669644</v>
      </c>
      <c r="AA33" s="5">
        <v>48</v>
      </c>
      <c r="AB33">
        <f t="shared" si="29"/>
        <v>1.3153580393303557</v>
      </c>
      <c r="AC33">
        <f t="shared" si="30"/>
        <v>2.7403292486049073</v>
      </c>
      <c r="AE33">
        <f t="shared" si="22"/>
        <v>9.6993381910654399</v>
      </c>
      <c r="AF33" s="25">
        <v>10</v>
      </c>
      <c r="AG33">
        <f t="shared" si="23"/>
        <v>-0.11999600905851009</v>
      </c>
      <c r="AH33" cm="1">
        <f t="array" ref="AH33">SolveT_Newton(AG33,$C$2)</f>
        <v>2.6668657183150488</v>
      </c>
      <c r="AI33">
        <f t="shared" si="24"/>
        <v>11.103947200751008</v>
      </c>
      <c r="AJ33">
        <f t="shared" si="31"/>
        <v>55.519736003755042</v>
      </c>
      <c r="AK33" s="5">
        <v>56</v>
      </c>
      <c r="AL33">
        <f t="shared" si="32"/>
        <v>0.48026399624495753</v>
      </c>
      <c r="AM33">
        <f t="shared" si="33"/>
        <v>0.85761427900885279</v>
      </c>
      <c r="AO33" s="25">
        <f t="shared" si="34"/>
        <v>70</v>
      </c>
      <c r="AP33">
        <f t="shared" si="35"/>
        <v>9.6993381910654399</v>
      </c>
      <c r="AQ33" s="25">
        <v>10</v>
      </c>
      <c r="AR33">
        <f t="shared" si="36"/>
        <v>-0.15341552213567372</v>
      </c>
      <c r="AS33" cm="1">
        <f t="array" ref="AS33">SolveT_Newton(AR33,$C$2)</f>
        <v>3.0507078477998739</v>
      </c>
      <c r="AT33">
        <f t="shared" si="25"/>
        <v>12.418371074580456</v>
      </c>
      <c r="AU33">
        <f t="shared" si="37"/>
        <v>62.09185537290228</v>
      </c>
      <c r="AV33" s="5">
        <v>60</v>
      </c>
      <c r="AW33">
        <f t="shared" si="38"/>
        <v>-2.0918553729022804</v>
      </c>
      <c r="AX33">
        <f t="shared" si="39"/>
        <v>-3.4864256215038005</v>
      </c>
    </row>
    <row r="34" spans="1:50" ht="14.5" x14ac:dyDescent="0.3">
      <c r="A34" s="33" t="s">
        <v>8</v>
      </c>
      <c r="B34" s="33"/>
      <c r="C34" s="33"/>
      <c r="D34" s="33"/>
      <c r="G34">
        <f t="shared" si="7"/>
        <v>0.93008142291675688</v>
      </c>
      <c r="H34">
        <f t="shared" si="8"/>
        <v>0.11914289222832031</v>
      </c>
      <c r="I34">
        <v>0.495</v>
      </c>
      <c r="U34">
        <f t="shared" si="26"/>
        <v>10.69933819106544</v>
      </c>
      <c r="V34" s="25">
        <v>11</v>
      </c>
      <c r="W34">
        <f t="shared" si="27"/>
        <v>-7.3999876786968219E-2</v>
      </c>
      <c r="X34" cm="1">
        <f t="array" ref="X34">SolveT_Newton(W34,$C$2)</f>
        <v>2.0551920503742633</v>
      </c>
      <c r="Y34">
        <f t="shared" si="21"/>
        <v>9.8773366909120934</v>
      </c>
      <c r="Z34">
        <f t="shared" si="28"/>
        <v>49.386683454560469</v>
      </c>
      <c r="AA34" s="5">
        <v>50</v>
      </c>
      <c r="AB34">
        <f t="shared" si="29"/>
        <v>0.61331654543953107</v>
      </c>
      <c r="AC34">
        <f t="shared" si="30"/>
        <v>1.2266330908790621</v>
      </c>
      <c r="AE34">
        <f t="shared" si="22"/>
        <v>10.69933819106544</v>
      </c>
      <c r="AF34" s="25">
        <v>11</v>
      </c>
      <c r="AG34">
        <f t="shared" si="23"/>
        <v>-0.13225033431856473</v>
      </c>
      <c r="AH34" cm="1">
        <f t="array" ref="AH34">SolveT_Newton(AG34,$C$2)</f>
        <v>2.8121223763335887</v>
      </c>
      <c r="AI34">
        <f t="shared" si="24"/>
        <v>11.770484813699834</v>
      </c>
      <c r="AJ34">
        <f t="shared" si="31"/>
        <v>58.852424068499175</v>
      </c>
      <c r="AK34" s="5">
        <v>58</v>
      </c>
      <c r="AL34">
        <f t="shared" si="32"/>
        <v>-0.85242406849917529</v>
      </c>
      <c r="AM34">
        <f t="shared" si="33"/>
        <v>-1.4696966698261644</v>
      </c>
      <c r="AO34" s="25">
        <f t="shared" si="34"/>
        <v>68</v>
      </c>
      <c r="AP34">
        <f t="shared" si="35"/>
        <v>10.69933819106544</v>
      </c>
      <c r="AQ34" s="25">
        <v>11</v>
      </c>
      <c r="AR34">
        <f t="shared" si="36"/>
        <v>-0.1524616857548442</v>
      </c>
      <c r="AS34" cm="1">
        <f t="array" ref="AS34">SolveT_Newton(AR34,$C$2)</f>
        <v>3.0402527301818028</v>
      </c>
      <c r="AT34">
        <f t="shared" si="25"/>
        <v>12.538292505422802</v>
      </c>
      <c r="AU34">
        <f t="shared" si="37"/>
        <v>62.691462527114012</v>
      </c>
      <c r="AV34" s="5">
        <v>60</v>
      </c>
      <c r="AW34">
        <f t="shared" si="38"/>
        <v>-2.6914625271140125</v>
      </c>
      <c r="AX34">
        <f t="shared" si="39"/>
        <v>-4.4857708785233541</v>
      </c>
    </row>
    <row r="35" spans="1:50" ht="14.5" x14ac:dyDescent="0.3">
      <c r="A35" s="32" t="s">
        <v>9</v>
      </c>
      <c r="B35" s="32"/>
      <c r="C35" s="32"/>
      <c r="D35" s="32"/>
      <c r="G35">
        <f t="shared" si="7"/>
        <v>0.94819900076800123</v>
      </c>
      <c r="H35">
        <f t="shared" si="8"/>
        <v>9.0536942789194996E-2</v>
      </c>
      <c r="I35">
        <v>0.51</v>
      </c>
      <c r="U35">
        <f t="shared" si="26"/>
        <v>11.69933819106544</v>
      </c>
      <c r="V35" s="25">
        <v>12</v>
      </c>
      <c r="W35">
        <f t="shared" si="27"/>
        <v>-8.0809897316078003E-2</v>
      </c>
      <c r="X35" cm="1">
        <f t="array" ref="X35">SolveT_Newton(W35,$C$2)</f>
        <v>2.1542999989273746</v>
      </c>
      <c r="Y35">
        <f t="shared" si="21"/>
        <v>10.399048052802506</v>
      </c>
      <c r="Z35">
        <f t="shared" si="28"/>
        <v>51.99524026401253</v>
      </c>
      <c r="AA35" s="5">
        <v>53</v>
      </c>
      <c r="AB35">
        <f t="shared" si="29"/>
        <v>1.00475973598747</v>
      </c>
      <c r="AC35">
        <f t="shared" si="30"/>
        <v>1.8957730867688114</v>
      </c>
      <c r="AE35">
        <f t="shared" si="22"/>
        <v>11.69933819106544</v>
      </c>
      <c r="AF35" s="25">
        <v>12</v>
      </c>
      <c r="AG35">
        <f t="shared" si="23"/>
        <v>-0.14450465957861938</v>
      </c>
      <c r="AH35" cm="1">
        <f t="array" ref="AH35">SolveT_Newton(AG35,$C$2)</f>
        <v>2.951989475271632</v>
      </c>
      <c r="AI35">
        <f t="shared" si="24"/>
        <v>12.41687038378215</v>
      </c>
      <c r="AJ35">
        <f t="shared" si="31"/>
        <v>62.084351918910755</v>
      </c>
      <c r="AK35" s="5">
        <v>61</v>
      </c>
      <c r="AL35">
        <f t="shared" si="32"/>
        <v>-1.0843519189107553</v>
      </c>
      <c r="AM35">
        <f t="shared" si="33"/>
        <v>-1.7776260965750086</v>
      </c>
      <c r="AO35" s="25">
        <f t="shared" si="34"/>
        <v>66</v>
      </c>
      <c r="AP35">
        <f t="shared" si="35"/>
        <v>11.69933819106544</v>
      </c>
      <c r="AQ35" s="25">
        <v>12</v>
      </c>
      <c r="AR35">
        <f t="shared" si="36"/>
        <v>-0.15129227152921018</v>
      </c>
      <c r="AS35" cm="1">
        <f t="array" ref="AS35">SolveT_Newton(AR35,$C$2)</f>
        <v>3.0273988739957889</v>
      </c>
      <c r="AT35">
        <f t="shared" si="25"/>
        <v>12.66609701944474</v>
      </c>
      <c r="AU35">
        <f t="shared" si="37"/>
        <v>63.330485097223701</v>
      </c>
      <c r="AV35" s="5">
        <v>60</v>
      </c>
      <c r="AW35">
        <f t="shared" si="38"/>
        <v>-3.3304850972237006</v>
      </c>
      <c r="AX35">
        <f t="shared" si="39"/>
        <v>-5.5508084953728343</v>
      </c>
    </row>
    <row r="36" spans="1:50" ht="14.5" x14ac:dyDescent="0.3">
      <c r="A36" s="32" t="s">
        <v>118</v>
      </c>
      <c r="B36" s="32"/>
      <c r="C36" s="32"/>
      <c r="D36" s="32"/>
      <c r="G36">
        <f t="shared" si="7"/>
        <v>0.96626230733332341</v>
      </c>
      <c r="H36">
        <f t="shared" si="8"/>
        <v>6.0444042739503545E-2</v>
      </c>
      <c r="I36">
        <v>0.52500000000000002</v>
      </c>
      <c r="U36">
        <f t="shared" si="26"/>
        <v>12.69933819106544</v>
      </c>
      <c r="V36" s="25">
        <v>13</v>
      </c>
      <c r="W36">
        <f t="shared" si="27"/>
        <v>-8.7619917845187759E-2</v>
      </c>
      <c r="X36" cm="1">
        <f t="array" ref="X36">SolveT_Newton(W36,$C$2)</f>
        <v>2.2498863882331226</v>
      </c>
      <c r="Y36">
        <f t="shared" si="21"/>
        <v>10.90451868841582</v>
      </c>
      <c r="Z36">
        <f t="shared" si="28"/>
        <v>54.522593442079099</v>
      </c>
      <c r="AA36" s="5">
        <v>55</v>
      </c>
      <c r="AB36">
        <f t="shared" si="29"/>
        <v>0.47740655792090081</v>
      </c>
      <c r="AC36">
        <f t="shared" si="30"/>
        <v>0.86801192349254697</v>
      </c>
      <c r="AE36">
        <f t="shared" si="22"/>
        <v>12.69933819106544</v>
      </c>
      <c r="AF36" s="25">
        <v>13</v>
      </c>
      <c r="AG36">
        <f t="shared" si="23"/>
        <v>-0.15675898483867395</v>
      </c>
      <c r="AH36" cm="1">
        <f t="array" ref="AH36">SolveT_Newton(AG36,$C$2)</f>
        <v>3.0871527349417494</v>
      </c>
      <c r="AI36">
        <f t="shared" si="24"/>
        <v>13.045821188730029</v>
      </c>
      <c r="AJ36">
        <f t="shared" si="31"/>
        <v>65.22910594365014</v>
      </c>
      <c r="AK36" s="5">
        <v>64</v>
      </c>
      <c r="AL36">
        <f t="shared" si="32"/>
        <v>-1.2291059436501399</v>
      </c>
      <c r="AM36">
        <f t="shared" si="33"/>
        <v>-1.9204780369533436</v>
      </c>
      <c r="AO36" s="25">
        <f t="shared" si="34"/>
        <v>64</v>
      </c>
      <c r="AP36">
        <f t="shared" si="35"/>
        <v>12.69933819106544</v>
      </c>
      <c r="AQ36" s="25">
        <v>13</v>
      </c>
      <c r="AR36">
        <f t="shared" si="36"/>
        <v>-0.14992288907881662</v>
      </c>
      <c r="AS36" cm="1">
        <f t="array" ref="AS36">SolveT_Newton(AR36,$C$2)</f>
        <v>3.0122963580423119</v>
      </c>
      <c r="AT36">
        <f t="shared" si="25"/>
        <v>12.803114283710174</v>
      </c>
      <c r="AU36">
        <f t="shared" si="37"/>
        <v>64.015571418550877</v>
      </c>
      <c r="AV36" s="5">
        <v>60</v>
      </c>
      <c r="AW36">
        <f t="shared" si="38"/>
        <v>-4.0155714185508771</v>
      </c>
      <c r="AX36">
        <f t="shared" si="39"/>
        <v>-6.692619030918129</v>
      </c>
    </row>
    <row r="37" spans="1:50" x14ac:dyDescent="0.3">
      <c r="G37">
        <f t="shared" si="7"/>
        <v>0.98427150518260564</v>
      </c>
      <c r="H37">
        <f t="shared" si="8"/>
        <v>2.8868646246503205E-2</v>
      </c>
      <c r="I37">
        <v>0.54</v>
      </c>
      <c r="U37">
        <f t="shared" si="26"/>
        <v>13.69933819106544</v>
      </c>
      <c r="V37" s="25">
        <v>14</v>
      </c>
      <c r="W37">
        <f t="shared" si="27"/>
        <v>-9.4429938374297556E-2</v>
      </c>
      <c r="X37" cm="1">
        <f t="array" ref="X37">SolveT_Newton(W37,$C$2)</f>
        <v>2.3423591529191965</v>
      </c>
      <c r="Y37">
        <f t="shared" si="21"/>
        <v>11.395721858940831</v>
      </c>
      <c r="Z37">
        <f t="shared" si="28"/>
        <v>56.978609294704157</v>
      </c>
      <c r="AA37" s="5">
        <v>58</v>
      </c>
      <c r="AB37">
        <f t="shared" si="29"/>
        <v>1.0213907052958433</v>
      </c>
      <c r="AC37">
        <f t="shared" si="30"/>
        <v>1.7610184574066263</v>
      </c>
      <c r="AE37">
        <f t="shared" si="22"/>
        <v>13.69933819106544</v>
      </c>
      <c r="AF37" s="25">
        <v>14</v>
      </c>
      <c r="AG37">
        <f t="shared" si="23"/>
        <v>-0.16901331009872858</v>
      </c>
      <c r="AH37" cm="1">
        <f t="array" ref="AH37">SolveT_Newton(AG37,$C$2)</f>
        <v>3.2181656727286305</v>
      </c>
      <c r="AI37">
        <f t="shared" si="24"/>
        <v>13.65952033445264</v>
      </c>
      <c r="AJ37">
        <f t="shared" si="31"/>
        <v>68.297601672263198</v>
      </c>
      <c r="AK37" s="5">
        <v>67</v>
      </c>
      <c r="AL37">
        <f t="shared" si="32"/>
        <v>-1.2976016722631982</v>
      </c>
      <c r="AM37">
        <f t="shared" si="33"/>
        <v>-1.9367189138256691</v>
      </c>
      <c r="AO37" s="25">
        <f t="shared" si="34"/>
        <v>62</v>
      </c>
      <c r="AP37">
        <f t="shared" si="35"/>
        <v>13.69933819106544</v>
      </c>
      <c r="AQ37" s="25">
        <v>14</v>
      </c>
      <c r="AR37">
        <f t="shared" si="36"/>
        <v>-0.14836406630744733</v>
      </c>
      <c r="AS37" cm="1">
        <f t="array" ref="AS37">SolveT_Newton(AR37,$C$2)</f>
        <v>2.9950371035666055</v>
      </c>
      <c r="AT37">
        <f t="shared" si="25"/>
        <v>12.950523397194841</v>
      </c>
      <c r="AU37">
        <f t="shared" si="37"/>
        <v>64.7526169859742</v>
      </c>
      <c r="AV37" s="5">
        <v>60</v>
      </c>
      <c r="AW37">
        <f t="shared" si="38"/>
        <v>-4.7526169859741998</v>
      </c>
      <c r="AX37">
        <f t="shared" si="39"/>
        <v>-7.9210283099569994</v>
      </c>
    </row>
    <row r="38" spans="1:50" ht="14.25" customHeight="1" x14ac:dyDescent="0.3">
      <c r="A38" s="29" t="s">
        <v>58</v>
      </c>
      <c r="B38" s="29"/>
      <c r="C38" s="29"/>
      <c r="D38" s="29"/>
      <c r="E38" s="29"/>
      <c r="F38" s="29"/>
      <c r="G38">
        <f t="shared" si="7"/>
        <v>1.0022267563987495</v>
      </c>
      <c r="H38">
        <f t="shared" si="8"/>
        <v>-4.1848058650527653E-3</v>
      </c>
      <c r="I38">
        <v>0.55500000000000005</v>
      </c>
      <c r="U38">
        <f t="shared" si="26"/>
        <v>14.69933819106544</v>
      </c>
      <c r="V38" s="25">
        <v>15</v>
      </c>
      <c r="W38">
        <f t="shared" si="27"/>
        <v>-0.10123995890340733</v>
      </c>
      <c r="X38" cm="1">
        <f t="array" ref="X38">SolveT_Newton(W38,$C$2)</f>
        <v>2.4320536794131242</v>
      </c>
      <c r="Y38">
        <f t="shared" si="21"/>
        <v>11.874270858380111</v>
      </c>
      <c r="Z38">
        <f t="shared" si="28"/>
        <v>59.371354291900559</v>
      </c>
      <c r="AA38" s="5">
        <v>60</v>
      </c>
      <c r="AB38">
        <f t="shared" si="29"/>
        <v>0.62864570809944098</v>
      </c>
      <c r="AC38">
        <f t="shared" si="30"/>
        <v>1.0477428468324017</v>
      </c>
      <c r="AE38">
        <f t="shared" si="22"/>
        <v>14.69933819106544</v>
      </c>
      <c r="AF38" s="25">
        <v>15</v>
      </c>
      <c r="AG38">
        <f t="shared" si="23"/>
        <v>-0.18126763535878324</v>
      </c>
      <c r="AH38" cm="1">
        <f t="array" ref="AH38">SolveT_Newton(AG38,$C$2)</f>
        <v>3.3454827045010616</v>
      </c>
      <c r="AI38">
        <f t="shared" si="24"/>
        <v>14.259752509085049</v>
      </c>
      <c r="AJ38">
        <f t="shared" si="31"/>
        <v>71.298762545425248</v>
      </c>
      <c r="AK38" s="5">
        <v>70</v>
      </c>
      <c r="AL38">
        <f t="shared" si="32"/>
        <v>-1.298762545425248</v>
      </c>
      <c r="AM38">
        <f t="shared" si="33"/>
        <v>-1.8553750648932115</v>
      </c>
      <c r="AO38" s="25">
        <f t="shared" si="34"/>
        <v>60</v>
      </c>
      <c r="AP38">
        <f t="shared" si="35"/>
        <v>14.69933819106544</v>
      </c>
      <c r="AQ38" s="25">
        <v>15</v>
      </c>
      <c r="AR38">
        <f t="shared" si="36"/>
        <v>-0.14662288168399826</v>
      </c>
      <c r="AS38" cm="1">
        <f t="array" ref="AS38">SolveT_Newton(AR38,$C$2)</f>
        <v>2.9756724553250025</v>
      </c>
      <c r="AT38">
        <f t="shared" si="25"/>
        <v>13.109438314296673</v>
      </c>
      <c r="AU38">
        <f t="shared" si="37"/>
        <v>65.547191571483367</v>
      </c>
      <c r="AV38" s="5">
        <v>60</v>
      </c>
      <c r="AW38">
        <f t="shared" si="38"/>
        <v>-5.5471915714833671</v>
      </c>
      <c r="AX38">
        <f t="shared" si="39"/>
        <v>-9.2453192858056124</v>
      </c>
    </row>
    <row r="39" spans="1:50" x14ac:dyDescent="0.3">
      <c r="A39" s="29"/>
      <c r="B39" s="29"/>
      <c r="C39" s="29"/>
      <c r="D39" s="29"/>
      <c r="E39" s="29"/>
      <c r="F39" s="29"/>
      <c r="G39">
        <f t="shared" si="7"/>
        <v>1.0201282225791377</v>
      </c>
      <c r="H39">
        <f t="shared" si="8"/>
        <v>-3.8711886072893775E-2</v>
      </c>
      <c r="I39">
        <v>0.56999999999999995</v>
      </c>
      <c r="U39">
        <f t="shared" si="26"/>
        <v>15.69933819106544</v>
      </c>
      <c r="V39" s="25">
        <v>16</v>
      </c>
      <c r="W39">
        <f t="shared" si="27"/>
        <v>-0.10804997943251711</v>
      </c>
      <c r="X39" cm="1">
        <f t="array" ref="X39">SolveT_Newton(W39,$C$2)</f>
        <v>2.5192496636262236</v>
      </c>
      <c r="Y39">
        <f t="shared" si="21"/>
        <v>12.341504483057204</v>
      </c>
      <c r="Z39">
        <f t="shared" si="28"/>
        <v>61.707522415286022</v>
      </c>
      <c r="AA39" s="5">
        <v>63</v>
      </c>
      <c r="AB39">
        <f t="shared" si="29"/>
        <v>1.2924775847139784</v>
      </c>
      <c r="AC39">
        <f t="shared" si="30"/>
        <v>2.0515517217682198</v>
      </c>
      <c r="AE39">
        <f t="shared" si="22"/>
        <v>15.69933819106544</v>
      </c>
      <c r="AF39" s="25">
        <v>16</v>
      </c>
      <c r="AG39">
        <f t="shared" si="23"/>
        <v>-0.19352196061883786</v>
      </c>
      <c r="AH39" cm="1">
        <f t="array" ref="AH39">SolveT_Newton(AG39,$C$2)</f>
        <v>3.4694823001897963</v>
      </c>
      <c r="AI39">
        <f t="shared" si="24"/>
        <v>14.847998419291933</v>
      </c>
      <c r="AJ39">
        <f t="shared" si="31"/>
        <v>74.239992096459673</v>
      </c>
      <c r="AK39" s="5">
        <v>73</v>
      </c>
      <c r="AL39">
        <f t="shared" si="32"/>
        <v>-1.2399920964596731</v>
      </c>
      <c r="AM39">
        <f t="shared" si="33"/>
        <v>-1.6986193102187304</v>
      </c>
      <c r="AO39" s="25">
        <f t="shared" si="34"/>
        <v>58</v>
      </c>
      <c r="AP39">
        <f t="shared" si="35"/>
        <v>15.69933819106544</v>
      </c>
      <c r="AQ39" s="25">
        <v>16</v>
      </c>
      <c r="AR39">
        <f t="shared" si="36"/>
        <v>-0.1447039811450952</v>
      </c>
      <c r="AS39" cm="1">
        <f t="array" ref="AS39">SolveT_Newton(AR39,$C$2)</f>
        <v>2.9542239366603931</v>
      </c>
      <c r="AT39">
        <f t="shared" si="25"/>
        <v>13.280966620925204</v>
      </c>
      <c r="AU39">
        <f t="shared" si="37"/>
        <v>66.404833104626022</v>
      </c>
      <c r="AV39" s="5">
        <v>60</v>
      </c>
      <c r="AW39">
        <f t="shared" si="38"/>
        <v>-6.4048331046260216</v>
      </c>
      <c r="AX39">
        <f t="shared" si="39"/>
        <v>-10.67472184104337</v>
      </c>
    </row>
    <row r="40" spans="1:50" x14ac:dyDescent="0.3">
      <c r="A40" s="29"/>
      <c r="B40" s="29"/>
      <c r="C40" s="29"/>
      <c r="D40" s="29"/>
      <c r="E40" s="29"/>
      <c r="F40" s="29"/>
      <c r="G40">
        <f t="shared" si="7"/>
        <v>1.0379760648370859</v>
      </c>
      <c r="H40">
        <f t="shared" si="8"/>
        <v>-7.4708180117455725E-2</v>
      </c>
      <c r="I40">
        <v>0.58499999999999996</v>
      </c>
      <c r="U40">
        <f t="shared" si="26"/>
        <v>16.69933819106544</v>
      </c>
      <c r="V40" s="25">
        <v>17</v>
      </c>
      <c r="W40">
        <f t="shared" si="27"/>
        <v>-0.11485999996162688</v>
      </c>
      <c r="X40" cm="1">
        <f t="array" ref="X40">SolveT_Newton(W40,$C$2)</f>
        <v>2.6041832449344922</v>
      </c>
      <c r="Y40">
        <f t="shared" si="21"/>
        <v>12.798548083499929</v>
      </c>
      <c r="Z40">
        <f t="shared" si="28"/>
        <v>63.992740417499647</v>
      </c>
      <c r="AA40" s="5">
        <v>65</v>
      </c>
      <c r="AB40">
        <f t="shared" si="29"/>
        <v>1.0072595825003532</v>
      </c>
      <c r="AC40">
        <f t="shared" si="30"/>
        <v>1.5496301269236203</v>
      </c>
      <c r="AE40">
        <f t="shared" si="22"/>
        <v>16.69933819106544</v>
      </c>
      <c r="AF40" s="25">
        <v>17</v>
      </c>
      <c r="AG40">
        <f t="shared" si="23"/>
        <v>-0.20577628587889246</v>
      </c>
      <c r="AH40" cm="1">
        <f t="array" ref="AH40">SolveT_Newton(AG40,$C$2)</f>
        <v>3.5904836185599169</v>
      </c>
      <c r="AI40">
        <f t="shared" si="24"/>
        <v>15.425502301811862</v>
      </c>
      <c r="AJ40">
        <f t="shared" si="31"/>
        <v>77.127511509059318</v>
      </c>
      <c r="AK40" s="5">
        <v>76</v>
      </c>
      <c r="AL40">
        <f t="shared" si="32"/>
        <v>-1.1275115090593175</v>
      </c>
      <c r="AM40">
        <f t="shared" si="33"/>
        <v>-1.4835677750780494</v>
      </c>
      <c r="AO40" s="25">
        <f t="shared" si="34"/>
        <v>56</v>
      </c>
      <c r="AP40">
        <f t="shared" si="35"/>
        <v>16.69933819106544</v>
      </c>
      <c r="AQ40" s="25">
        <v>17</v>
      </c>
      <c r="AR40">
        <f t="shared" si="36"/>
        <v>-0.14261023264116882</v>
      </c>
      <c r="AS40" cm="1">
        <f t="array" ref="AS40">SolveT_Newton(AR40,$C$2)</f>
        <v>2.9306899627783887</v>
      </c>
      <c r="AT40">
        <f t="shared" si="25"/>
        <v>13.466253861037723</v>
      </c>
      <c r="AU40">
        <f t="shared" si="37"/>
        <v>67.331269305188613</v>
      </c>
      <c r="AV40" s="5">
        <v>60</v>
      </c>
      <c r="AW40">
        <f t="shared" si="38"/>
        <v>-7.3312693051886129</v>
      </c>
      <c r="AX40">
        <f t="shared" si="39"/>
        <v>-12.218782175314354</v>
      </c>
    </row>
    <row r="41" spans="1:50" x14ac:dyDescent="0.3">
      <c r="A41" s="29"/>
      <c r="B41" s="29"/>
      <c r="C41" s="29"/>
      <c r="D41" s="29"/>
      <c r="E41" s="29"/>
      <c r="F41" s="29"/>
      <c r="G41">
        <f t="shared" si="7"/>
        <v>1.0557704438032958</v>
      </c>
      <c r="H41">
        <f t="shared" si="8"/>
        <v>-0.11216928696207284</v>
      </c>
      <c r="I41">
        <v>0.6</v>
      </c>
      <c r="U41">
        <f t="shared" si="26"/>
        <v>17.69933819106544</v>
      </c>
      <c r="V41" s="25">
        <v>18</v>
      </c>
      <c r="W41">
        <f t="shared" si="27"/>
        <v>-0.12167002049073665</v>
      </c>
      <c r="X41" cm="1">
        <f t="array" ref="X41">SolveT_Newton(W41,$C$2)</f>
        <v>2.6870559398519749</v>
      </c>
      <c r="Y41">
        <f t="shared" si="21"/>
        <v>13.246358213899152</v>
      </c>
      <c r="Z41">
        <f t="shared" si="28"/>
        <v>66.231791069495756</v>
      </c>
      <c r="AA41" s="5">
        <v>68</v>
      </c>
      <c r="AB41">
        <f t="shared" si="29"/>
        <v>1.7682089305042439</v>
      </c>
      <c r="AC41">
        <f t="shared" si="30"/>
        <v>2.600307250741535</v>
      </c>
      <c r="AE41">
        <f t="shared" si="22"/>
        <v>17.69933819106544</v>
      </c>
      <c r="AF41" s="25">
        <v>18</v>
      </c>
      <c r="AG41">
        <f t="shared" si="23"/>
        <v>-0.21803061113894709</v>
      </c>
      <c r="AH41" cm="1">
        <f t="array" ref="AH41">SolveT_Newton(AG41,$C$2)</f>
        <v>3.7087587338092876</v>
      </c>
      <c r="AI41">
        <f t="shared" si="24"/>
        <v>15.993321330688129</v>
      </c>
      <c r="AJ41">
        <f t="shared" si="31"/>
        <v>79.96660665344065</v>
      </c>
      <c r="AK41" s="5">
        <v>79</v>
      </c>
      <c r="AL41">
        <f t="shared" si="32"/>
        <v>-0.96660665344064967</v>
      </c>
      <c r="AM41">
        <f t="shared" si="33"/>
        <v>-1.22355272587424</v>
      </c>
      <c r="AO41" s="25">
        <f t="shared" si="34"/>
        <v>54</v>
      </c>
      <c r="AP41">
        <f t="shared" si="35"/>
        <v>17.69933819106544</v>
      </c>
      <c r="AQ41" s="25">
        <v>18</v>
      </c>
      <c r="AR41">
        <f t="shared" si="36"/>
        <v>-0.14034315886070975</v>
      </c>
      <c r="AS41" cm="1">
        <f t="array" ref="AS41">SolveT_Newton(AR41,$C$2)</f>
        <v>2.9050500472635581</v>
      </c>
      <c r="AT41">
        <f t="shared" si="25"/>
        <v>13.666520473958441</v>
      </c>
      <c r="AU41">
        <f t="shared" si="37"/>
        <v>68.332602369792198</v>
      </c>
      <c r="AV41" s="5">
        <v>60</v>
      </c>
      <c r="AW41">
        <f t="shared" si="38"/>
        <v>-8.3326023697921983</v>
      </c>
      <c r="AX41">
        <f t="shared" si="39"/>
        <v>-13.88767061632033</v>
      </c>
    </row>
    <row r="42" spans="1:50" x14ac:dyDescent="0.3">
      <c r="A42" s="29"/>
      <c r="B42" s="29"/>
      <c r="C42" s="29"/>
      <c r="D42" s="29"/>
      <c r="E42" s="29"/>
      <c r="F42" s="29"/>
      <c r="G42">
        <f t="shared" si="7"/>
        <v>1.0735115196272971</v>
      </c>
      <c r="H42">
        <f t="shared" si="8"/>
        <v>-0.15109081875342534</v>
      </c>
      <c r="I42">
        <v>0.61499999999999999</v>
      </c>
      <c r="U42">
        <f t="shared" si="26"/>
        <v>18.69933819106544</v>
      </c>
      <c r="V42" s="25">
        <v>19</v>
      </c>
      <c r="W42">
        <f t="shared" si="27"/>
        <v>-0.12848004101984642</v>
      </c>
      <c r="X42" cm="1">
        <f t="array" ref="X42">SolveT_Newton(W42,$C$2)</f>
        <v>2.7680413501586574</v>
      </c>
      <c r="Y42">
        <f t="shared" si="21"/>
        <v>13.685755960255511</v>
      </c>
      <c r="Z42">
        <f t="shared" si="28"/>
        <v>68.428779801277557</v>
      </c>
      <c r="AA42" s="5">
        <v>70</v>
      </c>
      <c r="AB42">
        <f t="shared" si="29"/>
        <v>1.5712201987224432</v>
      </c>
      <c r="AC42">
        <f t="shared" si="30"/>
        <v>2.2446002838892047</v>
      </c>
      <c r="AE42">
        <f t="shared" si="22"/>
        <v>18.69933819106544</v>
      </c>
      <c r="AF42" s="25">
        <v>19</v>
      </c>
      <c r="AG42">
        <f t="shared" si="23"/>
        <v>-0.23028493639900174</v>
      </c>
      <c r="AH42" cm="1">
        <f t="array" ref="AH42">SolveT_Newton(AG42,$C$2)</f>
        <v>3.824541802518433</v>
      </c>
      <c r="AI42">
        <f t="shared" si="24"/>
        <v>16.552362517860463</v>
      </c>
      <c r="AJ42">
        <f t="shared" si="31"/>
        <v>82.761812589302309</v>
      </c>
      <c r="AK42" s="5">
        <v>82</v>
      </c>
      <c r="AL42">
        <f t="shared" si="32"/>
        <v>-0.76181258930230911</v>
      </c>
      <c r="AM42">
        <f t="shared" si="33"/>
        <v>-0.92903974305159653</v>
      </c>
      <c r="AO42" s="25">
        <f t="shared" si="34"/>
        <v>52</v>
      </c>
      <c r="AP42">
        <f t="shared" si="35"/>
        <v>18.69933819106544</v>
      </c>
      <c r="AQ42" s="25">
        <v>19</v>
      </c>
      <c r="AR42">
        <f t="shared" si="36"/>
        <v>-0.13790322945908254</v>
      </c>
      <c r="AS42" cm="1">
        <f t="array" ref="AS42">SolveT_Newton(AR42,$C$2)</f>
        <v>2.8772673795030084</v>
      </c>
      <c r="AT42">
        <f t="shared" si="25"/>
        <v>13.883095796033565</v>
      </c>
      <c r="AU42">
        <f t="shared" si="37"/>
        <v>69.415478980167819</v>
      </c>
      <c r="AV42" s="5">
        <v>60</v>
      </c>
      <c r="AW42">
        <f t="shared" si="38"/>
        <v>-9.4154789801678191</v>
      </c>
      <c r="AX42">
        <f t="shared" si="39"/>
        <v>-15.692464966946366</v>
      </c>
    </row>
    <row r="43" spans="1:50" ht="14.25" customHeight="1" x14ac:dyDescent="0.3">
      <c r="A43" s="29"/>
      <c r="B43" s="29"/>
      <c r="C43" s="29"/>
      <c r="D43" s="29"/>
      <c r="E43" s="29"/>
      <c r="F43" s="29"/>
      <c r="G43">
        <f t="shared" si="7"/>
        <v>1.091199451978893</v>
      </c>
      <c r="H43">
        <f t="shared" si="8"/>
        <v>-0.19146840078200833</v>
      </c>
      <c r="I43">
        <v>0.63</v>
      </c>
      <c r="J43" s="29" t="s">
        <v>50</v>
      </c>
      <c r="K43" s="29"/>
      <c r="L43" s="29"/>
      <c r="M43" s="29"/>
      <c r="N43" s="29"/>
      <c r="O43" s="29"/>
      <c r="P43" s="29"/>
      <c r="Q43" s="29"/>
      <c r="R43" s="29"/>
      <c r="S43" s="29"/>
      <c r="T43" s="29"/>
      <c r="U43">
        <f t="shared" si="26"/>
        <v>19.69933819106544</v>
      </c>
      <c r="V43" s="25">
        <v>20</v>
      </c>
      <c r="W43">
        <f t="shared" si="27"/>
        <v>-0.1352900615489562</v>
      </c>
      <c r="X43" cm="1">
        <f t="array" ref="X43">SolveT_Newton(W43,$C$2)</f>
        <v>2.8472902876896544</v>
      </c>
      <c r="Y43">
        <f t="shared" si="21"/>
        <v>14.1174522674859</v>
      </c>
      <c r="Z43">
        <f t="shared" si="28"/>
        <v>70.587261337429496</v>
      </c>
      <c r="AA43" s="5">
        <v>72</v>
      </c>
      <c r="AB43">
        <f t="shared" si="29"/>
        <v>1.4127386625705043</v>
      </c>
      <c r="AC43">
        <f t="shared" si="30"/>
        <v>1.9621370313479227</v>
      </c>
      <c r="AE43">
        <f t="shared" si="22"/>
        <v>19.69933819106544</v>
      </c>
      <c r="AF43" s="25">
        <v>20</v>
      </c>
      <c r="AG43">
        <f t="shared" si="23"/>
        <v>-0.24253926165905632</v>
      </c>
      <c r="AH43" cm="1">
        <f t="array" ref="AH43">SolveT_Newton(AG43,$C$2)</f>
        <v>3.9380360575278459</v>
      </c>
      <c r="AI43">
        <f t="shared" si="24"/>
        <v>17.103410768467047</v>
      </c>
      <c r="AJ43">
        <f t="shared" si="31"/>
        <v>85.51705384233523</v>
      </c>
      <c r="AK43" s="5">
        <v>85</v>
      </c>
      <c r="AL43">
        <f t="shared" si="32"/>
        <v>-0.51705384233522977</v>
      </c>
      <c r="AM43">
        <f t="shared" si="33"/>
        <v>-0.60829863804144679</v>
      </c>
      <c r="AO43" s="25">
        <f t="shared" si="34"/>
        <v>50</v>
      </c>
      <c r="AP43">
        <f t="shared" si="35"/>
        <v>19.69933819106544</v>
      </c>
      <c r="AQ43" s="25">
        <v>20</v>
      </c>
      <c r="AR43">
        <f t="shared" si="36"/>
        <v>-0.1352900615489562</v>
      </c>
      <c r="AS43" cm="1">
        <f t="array" ref="AS43">SolveT_Newton(AR43,$C$2)</f>
        <v>2.8472902876896544</v>
      </c>
      <c r="AT43">
        <f t="shared" si="25"/>
        <v>14.1174522674859</v>
      </c>
      <c r="AU43">
        <f t="shared" si="37"/>
        <v>70.587261337429496</v>
      </c>
      <c r="AV43" s="5">
        <v>60</v>
      </c>
      <c r="AW43">
        <f t="shared" si="38"/>
        <v>-10.587261337429496</v>
      </c>
      <c r="AX43">
        <f t="shared" si="39"/>
        <v>-17.645435562382492</v>
      </c>
    </row>
    <row r="44" spans="1:50" x14ac:dyDescent="0.3">
      <c r="A44" s="29"/>
      <c r="B44" s="29"/>
      <c r="C44" s="29"/>
      <c r="D44" s="29"/>
      <c r="E44" s="29"/>
      <c r="F44" s="29"/>
      <c r="G44">
        <f t="shared" si="7"/>
        <v>1.1088344000495938</v>
      </c>
      <c r="H44">
        <f t="shared" si="8"/>
        <v>-0.23329767144277846</v>
      </c>
      <c r="I44">
        <v>0.64500000000000002</v>
      </c>
      <c r="J44" s="29"/>
      <c r="K44" s="29"/>
      <c r="L44" s="29"/>
      <c r="M44" s="29"/>
      <c r="N44" s="29"/>
      <c r="O44" s="29"/>
      <c r="P44" s="29"/>
      <c r="Q44" s="29"/>
      <c r="R44" s="29"/>
      <c r="S44" s="29"/>
      <c r="T44" s="29"/>
    </row>
    <row r="45" spans="1:50" x14ac:dyDescent="0.3">
      <c r="A45" s="29"/>
      <c r="B45" s="29"/>
      <c r="C45" s="29"/>
      <c r="D45" s="29"/>
      <c r="E45" s="29"/>
      <c r="F45" s="29"/>
      <c r="G45">
        <f t="shared" si="7"/>
        <v>1.1264165225540512</v>
      </c>
      <c r="H45">
        <f t="shared" si="8"/>
        <v>-0.27657428219592484</v>
      </c>
      <c r="I45">
        <v>0.66</v>
      </c>
      <c r="J45" s="29"/>
      <c r="K45" s="29"/>
      <c r="L45" s="29"/>
      <c r="M45" s="29"/>
      <c r="N45" s="29"/>
      <c r="O45" s="29"/>
      <c r="P45" s="29"/>
      <c r="Q45" s="29"/>
      <c r="R45" s="29"/>
      <c r="S45" s="29"/>
      <c r="T45" s="29"/>
    </row>
    <row r="46" spans="1:50" x14ac:dyDescent="0.3">
      <c r="A46" s="29"/>
      <c r="B46" s="29"/>
      <c r="C46" s="29"/>
      <c r="D46" s="29"/>
      <c r="E46" s="29"/>
      <c r="F46" s="29"/>
      <c r="G46">
        <f t="shared" si="7"/>
        <v>1.1439459777314855</v>
      </c>
      <c r="H46">
        <f t="shared" si="8"/>
        <v>-0.32129389752770388</v>
      </c>
      <c r="I46">
        <v>0.67500000000000004</v>
      </c>
      <c r="J46" s="29"/>
      <c r="K46" s="29"/>
      <c r="L46" s="29"/>
      <c r="M46" s="29"/>
      <c r="N46" s="29"/>
      <c r="O46" s="29"/>
      <c r="P46" s="29"/>
      <c r="Q46" s="29"/>
      <c r="R46" s="29"/>
      <c r="S46" s="29"/>
      <c r="T46" s="29"/>
    </row>
    <row r="47" spans="1:50" x14ac:dyDescent="0.3">
      <c r="A47" s="29"/>
      <c r="B47" s="29"/>
      <c r="C47" s="29"/>
      <c r="D47" s="29"/>
      <c r="E47" s="29"/>
      <c r="F47" s="29"/>
      <c r="G47">
        <f t="shared" si="7"/>
        <v>1.1614229233471127</v>
      </c>
      <c r="H47">
        <f t="shared" si="8"/>
        <v>-0.36745219491139502</v>
      </c>
      <c r="I47">
        <v>0.69</v>
      </c>
      <c r="J47" s="29"/>
      <c r="K47" s="29"/>
      <c r="L47" s="29"/>
      <c r="M47" s="29"/>
      <c r="N47" s="29"/>
      <c r="O47" s="29"/>
      <c r="P47" s="29"/>
      <c r="Q47" s="29"/>
      <c r="R47" s="29"/>
      <c r="S47" s="29"/>
      <c r="T47" s="29"/>
    </row>
    <row r="48" spans="1:50" x14ac:dyDescent="0.3">
      <c r="A48" s="29"/>
      <c r="B48" s="29"/>
      <c r="C48" s="29"/>
      <c r="D48" s="29"/>
      <c r="E48" s="29"/>
      <c r="F48" s="29"/>
      <c r="G48">
        <f t="shared" si="7"/>
        <v>1.1788475166935612</v>
      </c>
      <c r="H48">
        <f t="shared" si="8"/>
        <v>-0.4150448647684305</v>
      </c>
      <c r="I48">
        <v>0.70499999999999996</v>
      </c>
      <c r="J48" s="29"/>
      <c r="K48" s="29"/>
      <c r="L48" s="29"/>
      <c r="M48" s="29"/>
      <c r="N48" s="29"/>
      <c r="O48" s="29"/>
      <c r="P48" s="29"/>
      <c r="Q48" s="29"/>
      <c r="R48" s="29"/>
      <c r="S48" s="29"/>
      <c r="T48" s="29"/>
    </row>
    <row r="49" spans="1:20" ht="14.25" customHeight="1" x14ac:dyDescent="0.3">
      <c r="A49" s="29"/>
      <c r="B49" s="29"/>
      <c r="C49" s="29"/>
      <c r="D49" s="29"/>
      <c r="E49" s="29"/>
      <c r="F49" s="29"/>
      <c r="G49">
        <f t="shared" si="7"/>
        <v>1.1962199145922885</v>
      </c>
      <c r="H49">
        <f t="shared" si="8"/>
        <v>-0.46406761042964584</v>
      </c>
      <c r="I49">
        <v>0.72</v>
      </c>
      <c r="J49" s="29"/>
      <c r="K49" s="29"/>
      <c r="L49" s="29"/>
      <c r="M49" s="29"/>
      <c r="N49" s="29"/>
      <c r="O49" s="29"/>
      <c r="P49" s="29"/>
      <c r="Q49" s="29"/>
      <c r="R49" s="29"/>
      <c r="S49" s="29"/>
      <c r="T49" s="29"/>
    </row>
    <row r="50" spans="1:20" x14ac:dyDescent="0.3">
      <c r="A50" s="29"/>
      <c r="B50" s="29"/>
      <c r="C50" s="29"/>
      <c r="D50" s="29"/>
      <c r="E50" s="29"/>
      <c r="F50" s="29"/>
      <c r="G50">
        <f t="shared" si="7"/>
        <v>1.2135402733949927</v>
      </c>
      <c r="H50">
        <f t="shared" si="8"/>
        <v>-0.51451614809652335</v>
      </c>
      <c r="I50">
        <v>0.73499999999999999</v>
      </c>
      <c r="J50" s="18"/>
      <c r="K50" s="18"/>
      <c r="L50" s="18"/>
      <c r="M50" s="18"/>
      <c r="N50" s="18"/>
      <c r="O50" s="18"/>
      <c r="P50" s="18"/>
      <c r="Q50" s="18"/>
      <c r="R50" s="18"/>
      <c r="S50" s="18"/>
      <c r="T50" s="18"/>
    </row>
    <row r="51" spans="1:20" x14ac:dyDescent="0.3">
      <c r="G51">
        <f t="shared" si="7"/>
        <v>1.2308087489850201</v>
      </c>
      <c r="H51">
        <f t="shared" si="8"/>
        <v>-0.56638620680270557</v>
      </c>
      <c r="I51">
        <v>0.75</v>
      </c>
      <c r="J51" s="18"/>
      <c r="K51" s="18"/>
      <c r="L51" s="18"/>
      <c r="M51" s="18"/>
      <c r="N51" s="18"/>
      <c r="O51" s="18"/>
      <c r="P51" s="18"/>
      <c r="Q51" s="18"/>
      <c r="R51" s="18"/>
      <c r="S51" s="18"/>
      <c r="T51" s="18"/>
    </row>
    <row r="52" spans="1:20" x14ac:dyDescent="0.3">
      <c r="A52" s="30" t="s">
        <v>77</v>
      </c>
      <c r="B52" s="30"/>
      <c r="C52" s="30"/>
      <c r="D52" s="30"/>
      <c r="E52" s="30"/>
      <c r="F52" s="30"/>
      <c r="G52">
        <f t="shared" si="7"/>
        <v>1.2480254967787681</v>
      </c>
      <c r="H52">
        <f t="shared" si="8"/>
        <v>-0.61967352837551937</v>
      </c>
      <c r="I52">
        <v>0.76500000000000001</v>
      </c>
      <c r="J52" s="18"/>
      <c r="K52" s="18"/>
      <c r="L52" s="18"/>
      <c r="M52" s="18"/>
      <c r="N52" s="18"/>
      <c r="O52" s="18"/>
      <c r="P52" s="18"/>
      <c r="Q52" s="18"/>
      <c r="R52" s="18"/>
      <c r="S52" s="18"/>
      <c r="T52" s="18"/>
    </row>
    <row r="53" spans="1:20" x14ac:dyDescent="0.3">
      <c r="A53" s="30"/>
      <c r="B53" s="30"/>
      <c r="C53" s="30"/>
      <c r="D53" s="30"/>
      <c r="E53" s="30"/>
      <c r="F53" s="30"/>
      <c r="G53">
        <f t="shared" si="7"/>
        <v>1.2651906717270824</v>
      </c>
      <c r="H53">
        <f t="shared" si="8"/>
        <v>-0.67437386739767058</v>
      </c>
      <c r="I53">
        <v>0.78</v>
      </c>
    </row>
    <row r="54" spans="1:20" x14ac:dyDescent="0.3">
      <c r="A54" s="30"/>
      <c r="B54" s="30"/>
      <c r="C54" s="30"/>
      <c r="D54" s="30"/>
      <c r="E54" s="30"/>
      <c r="F54" s="30"/>
    </row>
    <row r="55" spans="1:20" x14ac:dyDescent="0.3">
      <c r="A55" s="30" t="s">
        <v>76</v>
      </c>
      <c r="B55" s="30"/>
      <c r="C55" s="30"/>
      <c r="D55" s="30"/>
      <c r="E55" s="30"/>
      <c r="F55" s="30"/>
      <c r="G55" s="30"/>
      <c r="H55" s="30"/>
    </row>
    <row r="56" spans="1:20" x14ac:dyDescent="0.3">
      <c r="A56" s="30"/>
      <c r="B56" s="30"/>
      <c r="C56" s="30"/>
      <c r="D56" s="30"/>
      <c r="E56" s="30"/>
      <c r="F56" s="30"/>
      <c r="G56" s="30"/>
      <c r="H56" s="30"/>
    </row>
    <row r="57" spans="1:20" x14ac:dyDescent="0.3">
      <c r="A57" s="30"/>
      <c r="B57" s="30"/>
      <c r="C57" s="30"/>
      <c r="D57" s="30"/>
      <c r="E57" s="30"/>
      <c r="F57" s="30"/>
      <c r="G57" s="30"/>
      <c r="H57" s="30"/>
    </row>
    <row r="58" spans="1:20" x14ac:dyDescent="0.3">
      <c r="A58" s="30"/>
      <c r="B58" s="30"/>
      <c r="C58" s="30"/>
      <c r="D58" s="30"/>
      <c r="E58" s="30"/>
      <c r="F58" s="30"/>
      <c r="G58" s="30"/>
      <c r="H58" s="30"/>
    </row>
    <row r="59" spans="1:20" x14ac:dyDescent="0.3">
      <c r="A59" s="30"/>
      <c r="B59" s="30"/>
      <c r="C59" s="30"/>
      <c r="D59" s="30"/>
      <c r="E59" s="30"/>
      <c r="F59" s="30"/>
      <c r="G59" s="30"/>
      <c r="H59" s="30"/>
    </row>
    <row r="60" spans="1:20" x14ac:dyDescent="0.3">
      <c r="A60" s="30"/>
      <c r="B60" s="30"/>
      <c r="C60" s="30"/>
      <c r="D60" s="30"/>
      <c r="E60" s="30"/>
      <c r="F60" s="30"/>
      <c r="G60" s="30"/>
      <c r="H60" s="30"/>
    </row>
    <row r="61" spans="1:20" x14ac:dyDescent="0.3">
      <c r="A61" s="30"/>
      <c r="B61" s="30"/>
      <c r="C61" s="30"/>
      <c r="D61" s="30"/>
      <c r="E61" s="30"/>
      <c r="F61" s="30"/>
      <c r="G61" s="30"/>
      <c r="H61" s="30"/>
    </row>
    <row r="62" spans="1:20" x14ac:dyDescent="0.3">
      <c r="A62" s="30"/>
      <c r="B62" s="30"/>
      <c r="C62" s="30"/>
      <c r="D62" s="30"/>
      <c r="E62" s="30"/>
      <c r="F62" s="30"/>
      <c r="G62" s="30"/>
      <c r="H62" s="30"/>
    </row>
    <row r="64" spans="1:20" ht="14.25" customHeight="1" x14ac:dyDescent="0.3">
      <c r="A64" s="30" t="s">
        <v>59</v>
      </c>
      <c r="B64" s="30"/>
      <c r="C64" s="30"/>
      <c r="D64" s="30"/>
      <c r="E64" s="30"/>
      <c r="F64" s="30"/>
      <c r="G64" s="30"/>
      <c r="H64" s="30"/>
    </row>
    <row r="65" spans="1:8" x14ac:dyDescent="0.3">
      <c r="A65" s="30"/>
      <c r="B65" s="30"/>
      <c r="C65" s="30"/>
      <c r="D65" s="30"/>
      <c r="E65" s="30"/>
      <c r="F65" s="30"/>
      <c r="G65" s="30"/>
      <c r="H65" s="30"/>
    </row>
    <row r="66" spans="1:8" x14ac:dyDescent="0.3">
      <c r="A66" s="30"/>
      <c r="B66" s="30"/>
      <c r="C66" s="30"/>
      <c r="D66" s="30"/>
      <c r="E66" s="30"/>
      <c r="F66" s="30"/>
      <c r="G66" s="30"/>
      <c r="H66" s="30"/>
    </row>
    <row r="67" spans="1:8" x14ac:dyDescent="0.3">
      <c r="A67" s="30"/>
      <c r="B67" s="30"/>
      <c r="C67" s="30"/>
      <c r="D67" s="30"/>
      <c r="E67" s="30"/>
      <c r="F67" s="30"/>
      <c r="G67" s="30"/>
      <c r="H67" s="30"/>
    </row>
    <row r="68" spans="1:8" x14ac:dyDescent="0.3">
      <c r="A68" s="30"/>
      <c r="B68" s="30"/>
      <c r="C68" s="30"/>
      <c r="D68" s="30"/>
      <c r="E68" s="30"/>
      <c r="F68" s="30"/>
      <c r="G68" s="30"/>
      <c r="H68" s="30"/>
    </row>
    <row r="70" spans="1:8" x14ac:dyDescent="0.3">
      <c r="A70">
        <v>0.89927082999999997</v>
      </c>
      <c r="B70">
        <v>-0.9</v>
      </c>
      <c r="C70">
        <v>-180</v>
      </c>
      <c r="D70">
        <v>1</v>
      </c>
    </row>
    <row r="71" spans="1:8" x14ac:dyDescent="0.3">
      <c r="D71">
        <v>0.1</v>
      </c>
    </row>
    <row r="72" spans="1:8" x14ac:dyDescent="0.3">
      <c r="A72">
        <v>0.82</v>
      </c>
      <c r="B72">
        <v>-0.32</v>
      </c>
      <c r="C72">
        <v>-23.45</v>
      </c>
      <c r="D72">
        <v>2.83</v>
      </c>
    </row>
    <row r="73" spans="1:8" x14ac:dyDescent="0.3">
      <c r="D73">
        <v>0.28000000000000003</v>
      </c>
    </row>
    <row r="74" spans="1:8" ht="14.25" customHeight="1" x14ac:dyDescent="0.3">
      <c r="A74">
        <v>0.82</v>
      </c>
      <c r="B74">
        <v>-1</v>
      </c>
      <c r="C74">
        <v>-180</v>
      </c>
      <c r="D74">
        <v>1</v>
      </c>
    </row>
    <row r="75" spans="1:8" x14ac:dyDescent="0.3">
      <c r="D75">
        <v>0.36055512754639801</v>
      </c>
    </row>
    <row r="76" spans="1:8" x14ac:dyDescent="0.3">
      <c r="D76">
        <v>33.5</v>
      </c>
    </row>
    <row r="77" spans="1:8" x14ac:dyDescent="0.3">
      <c r="A77">
        <v>0.24</v>
      </c>
      <c r="B77">
        <v>-0.2</v>
      </c>
      <c r="C77">
        <v>-7</v>
      </c>
      <c r="D77">
        <v>5</v>
      </c>
    </row>
    <row r="87" spans="1:12" x14ac:dyDescent="0.3">
      <c r="A87">
        <v>13.4</v>
      </c>
      <c r="B87">
        <v>13.4</v>
      </c>
      <c r="C87">
        <v>13.4</v>
      </c>
      <c r="D87">
        <v>13.5</v>
      </c>
      <c r="E87">
        <v>13.5</v>
      </c>
      <c r="F87">
        <v>13.7</v>
      </c>
      <c r="G87">
        <v>13.7</v>
      </c>
      <c r="H87">
        <v>1.3</v>
      </c>
      <c r="I87">
        <v>6.4</v>
      </c>
      <c r="J87">
        <v>6.6</v>
      </c>
      <c r="K87">
        <v>6.2</v>
      </c>
      <c r="L87">
        <v>17.2</v>
      </c>
    </row>
    <row r="88" spans="1:12" x14ac:dyDescent="0.3">
      <c r="A88">
        <v>3.4</v>
      </c>
      <c r="B88">
        <v>3.4</v>
      </c>
      <c r="C88">
        <v>3.4</v>
      </c>
      <c r="D88">
        <v>3.2</v>
      </c>
      <c r="E88">
        <v>3.2</v>
      </c>
      <c r="F88">
        <v>-5.4</v>
      </c>
      <c r="G88">
        <v>-5.4</v>
      </c>
      <c r="H88">
        <v>0.7</v>
      </c>
      <c r="I88">
        <v>-0.9</v>
      </c>
      <c r="J88">
        <v>-1.3</v>
      </c>
      <c r="K88">
        <v>-0.4</v>
      </c>
      <c r="L88">
        <v>-3.2</v>
      </c>
    </row>
    <row r="89" spans="1:12" x14ac:dyDescent="0.3">
      <c r="A89">
        <v>1.5</v>
      </c>
      <c r="B89">
        <v>2.1</v>
      </c>
      <c r="C89">
        <v>2.1</v>
      </c>
      <c r="D89">
        <v>1.8</v>
      </c>
      <c r="E89">
        <v>0.9</v>
      </c>
      <c r="F89">
        <v>-0.2</v>
      </c>
      <c r="G89">
        <v>2.2000000000000002</v>
      </c>
      <c r="H89">
        <v>2.1</v>
      </c>
      <c r="I89">
        <v>0.9</v>
      </c>
      <c r="J89">
        <v>0.5</v>
      </c>
      <c r="K89">
        <v>0.5</v>
      </c>
      <c r="L89">
        <v>0.4</v>
      </c>
    </row>
    <row r="90" spans="1:12" x14ac:dyDescent="0.3">
      <c r="A90">
        <v>69</v>
      </c>
      <c r="B90">
        <v>76</v>
      </c>
      <c r="C90">
        <v>63</v>
      </c>
      <c r="D90">
        <v>78</v>
      </c>
      <c r="E90">
        <v>78</v>
      </c>
      <c r="F90">
        <v>69</v>
      </c>
      <c r="G90">
        <v>63</v>
      </c>
      <c r="H90">
        <v>81</v>
      </c>
      <c r="I90">
        <v>57</v>
      </c>
      <c r="J90">
        <v>65</v>
      </c>
      <c r="K90">
        <v>80</v>
      </c>
      <c r="L90">
        <v>55</v>
      </c>
    </row>
    <row r="91" spans="1:12" x14ac:dyDescent="0.3">
      <c r="A91">
        <v>73</v>
      </c>
      <c r="B91">
        <v>84</v>
      </c>
      <c r="C91">
        <v>66</v>
      </c>
      <c r="D91">
        <v>92</v>
      </c>
      <c r="E91">
        <v>98</v>
      </c>
      <c r="F91">
        <v>73</v>
      </c>
      <c r="G91">
        <v>56</v>
      </c>
      <c r="H91">
        <v>27</v>
      </c>
      <c r="I91">
        <v>37</v>
      </c>
      <c r="J91">
        <v>43</v>
      </c>
      <c r="K91">
        <v>68</v>
      </c>
      <c r="L91">
        <v>65</v>
      </c>
    </row>
    <row r="92" spans="1:12" x14ac:dyDescent="0.3">
      <c r="A92">
        <v>70.55</v>
      </c>
      <c r="B92">
        <v>79.63</v>
      </c>
      <c r="C92">
        <v>63.65</v>
      </c>
      <c r="D92">
        <v>86.6</v>
      </c>
      <c r="E92">
        <v>93.2</v>
      </c>
      <c r="F92">
        <v>71.02</v>
      </c>
      <c r="G92">
        <v>53.04</v>
      </c>
      <c r="H92">
        <v>25.91</v>
      </c>
      <c r="I92">
        <v>36.53</v>
      </c>
      <c r="J92">
        <v>41.28</v>
      </c>
      <c r="K92">
        <v>64.62</v>
      </c>
      <c r="L92">
        <v>62.9</v>
      </c>
    </row>
  </sheetData>
  <dataConsolidate/>
  <mergeCells count="22">
    <mergeCell ref="C27:D27"/>
    <mergeCell ref="A15:F19"/>
    <mergeCell ref="J43:T49"/>
    <mergeCell ref="A55:H62"/>
    <mergeCell ref="A52:F54"/>
    <mergeCell ref="C26:D26"/>
    <mergeCell ref="C25:D25"/>
    <mergeCell ref="C22:D22"/>
    <mergeCell ref="C23:D23"/>
    <mergeCell ref="A36:D36"/>
    <mergeCell ref="A32:D32"/>
    <mergeCell ref="A33:D33"/>
    <mergeCell ref="A21:B21"/>
    <mergeCell ref="C28:D28"/>
    <mergeCell ref="C21:D21"/>
    <mergeCell ref="C24:D24"/>
    <mergeCell ref="A64:H68"/>
    <mergeCell ref="A35:D35"/>
    <mergeCell ref="A34:D34"/>
    <mergeCell ref="A30:D30"/>
    <mergeCell ref="A31:D31"/>
    <mergeCell ref="A38:F50"/>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2</vt:i4>
      </vt:variant>
    </vt:vector>
  </HeadingPairs>
  <TitlesOfParts>
    <vt:vector size="2" baseType="lpstr">
      <vt:lpstr>不可更改v0的kv算法 (2)</vt:lpstr>
      <vt:lpstr>不可更改v0的kv算法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尘竹 谢</cp:lastModifiedBy>
  <dcterms:created xsi:type="dcterms:W3CDTF">2008-09-11T17:22:52Z</dcterms:created>
  <dcterms:modified xsi:type="dcterms:W3CDTF">2026-01-30T17:31:17Z</dcterms:modified>
</cp:coreProperties>
</file>