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ZML\Desktop\手游\"/>
    </mc:Choice>
  </mc:AlternateContent>
  <xr:revisionPtr revIDLastSave="0" documentId="13_ncr:1_{646ABA4D-C416-42DE-9949-EFF5DA43EE0C}" xr6:coauthVersionLast="40" xr6:coauthVersionMax="40" xr10:uidLastSave="{00000000-0000-0000-0000-000000000000}"/>
  <bookViews>
    <workbookView xWindow="0" yWindow="105" windowWidth="12765" windowHeight="5715" activeTab="1" xr2:uid="{00000000-000D-0000-FFFF-FFFF00000000}"/>
  </bookViews>
  <sheets>
    <sheet name="不可更改v0的kv算法 (2)" sheetId="5" r:id="rId1"/>
    <sheet name="不可更改v0的kv算法 (3)" sheetId="6" r:id="rId2"/>
  </sheets>
  <calcPr calcId="181029"/>
</workbook>
</file>

<file path=xl/calcChain.xml><?xml version="1.0" encoding="utf-8"?>
<calcChain xmlns="http://schemas.openxmlformats.org/spreadsheetml/2006/main">
  <c r="E18" i="5" l="1"/>
  <c r="E15" i="5"/>
  <c r="F15" i="5"/>
  <c r="E6" i="5" l="1"/>
  <c r="E6" i="6"/>
  <c r="E8" i="6"/>
  <c r="E9" i="6"/>
  <c r="E10" i="6"/>
  <c r="B11" i="6"/>
  <c r="E11" i="6"/>
  <c r="E4" i="6" s="1"/>
  <c r="E23" i="6"/>
  <c r="F23" i="6"/>
  <c r="E27" i="6"/>
  <c r="E28" i="6" s="1"/>
  <c r="A8" i="6" l="1"/>
  <c r="A6" i="6" s="1"/>
  <c r="B8" i="6"/>
  <c r="E5" i="6"/>
  <c r="B11" i="5"/>
  <c r="E16" i="5"/>
  <c r="E23" i="5"/>
  <c r="F23" i="5"/>
  <c r="E27" i="5"/>
  <c r="E28" i="5" s="1"/>
  <c r="E8" i="5"/>
  <c r="E9" i="5"/>
  <c r="A8" i="5" l="1"/>
  <c r="A6" i="5" s="1"/>
  <c r="B6" i="6"/>
  <c r="E10" i="5"/>
  <c r="B8" i="5"/>
  <c r="B6" i="5" s="1"/>
  <c r="F16" i="5"/>
  <c r="E17" i="5" s="1"/>
  <c r="F18" i="5" s="1"/>
  <c r="F30" i="5" l="1"/>
  <c r="F31" i="5"/>
  <c r="F33" i="5"/>
  <c r="F32" i="5"/>
  <c r="A11" i="6"/>
  <c r="A13" i="6" s="1"/>
  <c r="A4" i="6" s="1"/>
  <c r="E19" i="5"/>
  <c r="E11" i="5" s="1"/>
  <c r="E5" i="5" s="1"/>
  <c r="B4" i="6" l="1"/>
  <c r="G4" i="6" s="1"/>
  <c r="E13" i="6"/>
  <c r="H3" i="6"/>
  <c r="H5" i="6"/>
  <c r="H8" i="6"/>
  <c r="H27" i="6"/>
  <c r="H17" i="6"/>
  <c r="H29" i="6"/>
  <c r="H33" i="6"/>
  <c r="H35" i="6"/>
  <c r="H39" i="6"/>
  <c r="H43" i="6"/>
  <c r="H47" i="6"/>
  <c r="H51" i="6"/>
  <c r="H53" i="6"/>
  <c r="H7" i="6"/>
  <c r="H9" i="6"/>
  <c r="H11" i="6"/>
  <c r="H14" i="6"/>
  <c r="H16" i="6"/>
  <c r="H18" i="6"/>
  <c r="H20" i="6"/>
  <c r="H22" i="6"/>
  <c r="H23" i="6"/>
  <c r="H25" i="6"/>
  <c r="H28" i="6"/>
  <c r="H30" i="6"/>
  <c r="H32" i="6"/>
  <c r="H34" i="6"/>
  <c r="H36" i="6"/>
  <c r="H38" i="6"/>
  <c r="H40" i="6"/>
  <c r="H42" i="6"/>
  <c r="H44" i="6"/>
  <c r="H46" i="6"/>
  <c r="H48" i="6"/>
  <c r="H50" i="6"/>
  <c r="H52" i="6"/>
  <c r="H2" i="6"/>
  <c r="H10" i="6"/>
  <c r="H4" i="6"/>
  <c r="H6" i="6"/>
  <c r="H12" i="6"/>
  <c r="H13" i="6"/>
  <c r="H15" i="6"/>
  <c r="H19" i="6"/>
  <c r="H21" i="6"/>
  <c r="H24" i="6"/>
  <c r="H26" i="6"/>
  <c r="H31" i="6"/>
  <c r="H37" i="6"/>
  <c r="H41" i="6"/>
  <c r="H45" i="6"/>
  <c r="H49" i="6"/>
  <c r="A11" i="5"/>
  <c r="A13" i="5" s="1"/>
  <c r="E4" i="5"/>
  <c r="G44" i="6" l="1"/>
  <c r="G35" i="6"/>
  <c r="G51" i="6"/>
  <c r="G11" i="6"/>
  <c r="G28" i="6"/>
  <c r="G17" i="6"/>
  <c r="G30" i="6"/>
  <c r="G53" i="6"/>
  <c r="G19" i="6"/>
  <c r="G52" i="6"/>
  <c r="G20" i="6"/>
  <c r="G26" i="6"/>
  <c r="G46" i="6"/>
  <c r="G14" i="6"/>
  <c r="G37" i="6"/>
  <c r="G36" i="6"/>
  <c r="G8" i="6"/>
  <c r="G43" i="6"/>
  <c r="G6" i="6"/>
  <c r="G2" i="6"/>
  <c r="G38" i="6"/>
  <c r="G22" i="6"/>
  <c r="G27" i="6"/>
  <c r="G45" i="6"/>
  <c r="G29" i="6"/>
  <c r="G12" i="6"/>
  <c r="G10" i="6"/>
  <c r="G48" i="6"/>
  <c r="G40" i="6"/>
  <c r="G32" i="6"/>
  <c r="G23" i="6"/>
  <c r="G16" i="6"/>
  <c r="G7" i="6"/>
  <c r="G3" i="6"/>
  <c r="G47" i="6"/>
  <c r="G39" i="6"/>
  <c r="G31" i="6"/>
  <c r="G21" i="6"/>
  <c r="G13" i="6"/>
  <c r="G50" i="6"/>
  <c r="G42" i="6"/>
  <c r="G34" i="6"/>
  <c r="G25" i="6"/>
  <c r="G18" i="6"/>
  <c r="G9" i="6"/>
  <c r="G5" i="6"/>
  <c r="G49" i="6"/>
  <c r="G41" i="6"/>
  <c r="G33" i="6"/>
  <c r="G24" i="6"/>
  <c r="G15" i="6"/>
  <c r="B4" i="5"/>
  <c r="G17" i="5" s="1"/>
  <c r="E13" i="5"/>
  <c r="A4" i="5"/>
  <c r="H37" i="5" s="1"/>
  <c r="G27" i="5" l="1"/>
  <c r="G8" i="5"/>
  <c r="G45" i="5"/>
  <c r="G34" i="5"/>
  <c r="G35" i="5"/>
  <c r="G47" i="5"/>
  <c r="G10" i="5"/>
  <c r="G38" i="5"/>
  <c r="G51" i="5"/>
  <c r="G6" i="5"/>
  <c r="G30" i="5"/>
  <c r="G41" i="5"/>
  <c r="G52" i="5"/>
  <c r="G15" i="5"/>
  <c r="G43" i="5"/>
  <c r="G50" i="5"/>
  <c r="G22" i="5"/>
  <c r="G21" i="5"/>
  <c r="G37" i="5"/>
  <c r="G9" i="5"/>
  <c r="G32" i="5"/>
  <c r="G33" i="5"/>
  <c r="G44" i="5"/>
  <c r="G4" i="5"/>
  <c r="G20" i="5"/>
  <c r="G42" i="5"/>
  <c r="G13" i="5"/>
  <c r="G19" i="5"/>
  <c r="G25" i="5"/>
  <c r="G7" i="5"/>
  <c r="G29" i="5"/>
  <c r="G16" i="5"/>
  <c r="G49" i="5"/>
  <c r="G14" i="5"/>
  <c r="G3" i="5"/>
  <c r="G48" i="5"/>
  <c r="G18" i="5"/>
  <c r="G40" i="5"/>
  <c r="G28" i="5"/>
  <c r="G36" i="5"/>
  <c r="G11" i="5"/>
  <c r="G39" i="5"/>
  <c r="G2" i="5"/>
  <c r="G53" i="5"/>
  <c r="G5" i="5"/>
  <c r="G12" i="5"/>
  <c r="G23" i="5"/>
  <c r="G31" i="5"/>
  <c r="G26" i="5"/>
  <c r="G46" i="5"/>
  <c r="G24" i="5"/>
  <c r="H39" i="5"/>
  <c r="H41" i="5"/>
  <c r="H53" i="5"/>
  <c r="H21" i="5"/>
  <c r="H25" i="5"/>
  <c r="H5" i="5"/>
  <c r="H30" i="5"/>
  <c r="H34" i="5"/>
  <c r="H45" i="5"/>
  <c r="H51" i="5"/>
  <c r="H40" i="5"/>
  <c r="H44" i="5"/>
  <c r="H27" i="5"/>
  <c r="H22" i="5"/>
  <c r="H49" i="5"/>
  <c r="H32" i="5"/>
  <c r="H28" i="5"/>
  <c r="H50" i="5"/>
  <c r="H52" i="5"/>
  <c r="H13" i="5"/>
  <c r="H46" i="5"/>
  <c r="H23" i="5"/>
  <c r="H36" i="5"/>
  <c r="H7" i="5"/>
  <c r="H2" i="5"/>
  <c r="H48" i="5"/>
  <c r="H47" i="5"/>
  <c r="H29" i="5"/>
  <c r="H43" i="5"/>
  <c r="H26" i="5"/>
  <c r="H31" i="5"/>
  <c r="H6" i="5"/>
  <c r="H12" i="5"/>
  <c r="H15" i="5"/>
  <c r="H18" i="5"/>
  <c r="H42" i="5"/>
  <c r="H38" i="5"/>
  <c r="H8" i="5"/>
  <c r="H19" i="5"/>
  <c r="H14" i="5"/>
  <c r="H10" i="5"/>
  <c r="H35" i="5"/>
  <c r="H4" i="5"/>
  <c r="H17" i="5"/>
  <c r="H11" i="5"/>
  <c r="H3" i="5"/>
  <c r="H20" i="5"/>
  <c r="H9" i="5"/>
  <c r="H24" i="5"/>
  <c r="H16" i="5"/>
  <c r="H33" i="5"/>
</calcChain>
</file>

<file path=xl/sharedStrings.xml><?xml version="1.0" encoding="utf-8"?>
<sst xmlns="http://schemas.openxmlformats.org/spreadsheetml/2006/main" count="272" uniqueCount="122">
  <si>
    <t>t</t>
    <phoneticPr fontId="1" type="noConversion"/>
  </si>
  <si>
    <t>x</t>
    <phoneticPr fontId="1" type="noConversion"/>
  </si>
  <si>
    <t>y</t>
    <phoneticPr fontId="1" type="noConversion"/>
  </si>
  <si>
    <t>一个绝对量：相对位移(x,y)</t>
    <phoneticPr fontId="1" type="noConversion"/>
  </si>
  <si>
    <t>识别到的风力到真风力，有转换系数</t>
    <phoneticPr fontId="1" type="noConversion"/>
  </si>
  <si>
    <t>算出来的速度到力度，有转换系数</t>
    <phoneticPr fontId="1" type="noConversion"/>
  </si>
  <si>
    <r>
      <t>g</t>
    </r>
    <r>
      <rPr>
        <sz val="11"/>
        <color theme="1"/>
        <rFont val="宋体"/>
        <family val="3"/>
        <charset val="134"/>
      </rPr>
      <t>、</t>
    </r>
    <r>
      <rPr>
        <sz val="11"/>
        <color theme="1"/>
        <rFont val="Tahoma"/>
        <family val="2"/>
        <charset val="134"/>
      </rPr>
      <t>k</t>
    </r>
    <r>
      <rPr>
        <sz val="11"/>
        <color theme="1"/>
        <rFont val="宋体"/>
        <family val="3"/>
        <charset val="134"/>
      </rPr>
      <t>自带转换系数，不需要另设</t>
    </r>
    <phoneticPr fontId="1" type="noConversion"/>
  </si>
  <si>
    <t>a修正系数</t>
    <phoneticPr fontId="1" type="noConversion"/>
  </si>
  <si>
    <t>由高抛公式：真实a满足：tan(2a)=a/|g|</t>
  </si>
  <si>
    <r>
      <rPr>
        <sz val="11"/>
        <color theme="1"/>
        <rFont val="宋体"/>
        <family val="3"/>
        <charset val="134"/>
      </rPr>
      <t>解得</t>
    </r>
    <r>
      <rPr>
        <sz val="11"/>
        <color theme="1"/>
        <rFont val="Tahoma"/>
        <family val="2"/>
        <charset val="134"/>
      </rPr>
      <t>a=1</t>
    </r>
    <r>
      <rPr>
        <sz val="11"/>
        <color theme="1"/>
        <rFont val="宋体"/>
        <family val="3"/>
        <charset val="134"/>
      </rPr>
      <t>时候，</t>
    </r>
    <r>
      <rPr>
        <sz val="11"/>
        <color theme="1"/>
        <rFont val="Tahoma"/>
        <family val="2"/>
        <charset val="134"/>
      </rPr>
      <t>|g|</t>
    </r>
    <r>
      <rPr>
        <sz val="11"/>
        <color theme="1"/>
        <rFont val="宋体"/>
        <family val="3"/>
        <charset val="134"/>
      </rPr>
      <t>约为</t>
    </r>
    <r>
      <rPr>
        <sz val="11"/>
        <color theme="1"/>
        <rFont val="Tahoma"/>
        <family val="2"/>
        <charset val="134"/>
      </rPr>
      <t>28</t>
    </r>
  </si>
  <si>
    <t>距离因子</t>
    <phoneticPr fontId="1" type="noConversion"/>
  </si>
  <si>
    <t>可变值t0</t>
    <phoneticPr fontId="1" type="noConversion"/>
  </si>
  <si>
    <t>反解目标</t>
    <phoneticPr fontId="1" type="noConversion"/>
  </si>
  <si>
    <r>
      <rPr>
        <sz val="11"/>
        <color rgb="FFFF0000"/>
        <rFont val="宋体"/>
        <family val="3"/>
        <charset val="134"/>
      </rPr>
      <t>目标值</t>
    </r>
    <r>
      <rPr>
        <sz val="11"/>
        <color rgb="FFFF0000"/>
        <rFont val="Tahoma"/>
        <family val="2"/>
        <charset val="134"/>
      </rPr>
      <t>M</t>
    </r>
    <phoneticPr fontId="1" type="noConversion"/>
  </si>
  <si>
    <r>
      <rPr>
        <sz val="11"/>
        <color rgb="FFFF0000"/>
        <rFont val="宋体"/>
        <family val="3"/>
        <charset val="134"/>
      </rPr>
      <t>输出值</t>
    </r>
    <r>
      <rPr>
        <sz val="11"/>
        <color rgb="FFFF0000"/>
        <rFont val="Tahoma"/>
        <family val="2"/>
        <charset val="134"/>
      </rPr>
      <t>v0</t>
    </r>
    <phoneticPr fontId="1" type="noConversion"/>
  </si>
  <si>
    <t>k</t>
    <phoneticPr fontId="1" type="noConversion"/>
  </si>
  <si>
    <t>g</t>
    <phoneticPr fontId="1" type="noConversion"/>
  </si>
  <si>
    <t>力度修正</t>
    <phoneticPr fontId="1" type="noConversion"/>
  </si>
  <si>
    <t>考虑r程度</t>
    <phoneticPr fontId="1" type="noConversion"/>
  </si>
  <si>
    <t>出手半径r</t>
    <phoneticPr fontId="1" type="noConversion"/>
  </si>
  <si>
    <t>相对位移x</t>
    <phoneticPr fontId="1" type="noConversion"/>
  </si>
  <si>
    <t>相对位移y</t>
    <phoneticPr fontId="1" type="noConversion"/>
  </si>
  <si>
    <r>
      <rPr>
        <sz val="11"/>
        <color theme="9" tint="-0.499984740745262"/>
        <rFont val="宋体"/>
        <family val="3"/>
        <charset val="134"/>
      </rPr>
      <t>风力</t>
    </r>
    <r>
      <rPr>
        <sz val="11"/>
        <color theme="9" tint="-0.499984740745262"/>
        <rFont val="Tahoma"/>
        <family val="2"/>
        <charset val="134"/>
      </rPr>
      <t>a</t>
    </r>
    <phoneticPr fontId="1" type="noConversion"/>
  </si>
  <si>
    <t>Vy</t>
    <phoneticPr fontId="1" type="noConversion"/>
  </si>
  <si>
    <t>Vx</t>
    <phoneticPr fontId="1" type="noConversion"/>
  </si>
  <si>
    <t>力度</t>
    <phoneticPr fontId="1" type="noConversion"/>
  </si>
  <si>
    <t>角度因子1</t>
    <phoneticPr fontId="1" type="noConversion"/>
  </si>
  <si>
    <t>角度因子2</t>
    <phoneticPr fontId="1" type="noConversion"/>
  </si>
  <si>
    <r>
      <rPr>
        <sz val="11"/>
        <color theme="1"/>
        <rFont val="宋体"/>
        <family val="3"/>
        <charset val="134"/>
      </rPr>
      <t>但这样一来，想</t>
    </r>
    <r>
      <rPr>
        <sz val="11"/>
        <color theme="1"/>
        <rFont val="Tahoma"/>
        <family val="2"/>
        <charset val="134"/>
      </rPr>
      <t>90</t>
    </r>
    <r>
      <rPr>
        <sz val="11"/>
        <color theme="1"/>
        <rFont val="宋体"/>
        <family val="3"/>
        <charset val="134"/>
      </rPr>
      <t>多度下，正向顺风攻击敌方的想法会受到限制。不过应只有这一点。——这是因为所有大于</t>
    </r>
    <r>
      <rPr>
        <sz val="11"/>
        <color theme="1"/>
        <rFont val="Tahoma"/>
        <family val="2"/>
        <charset val="134"/>
      </rPr>
      <t>90°</t>
    </r>
    <r>
      <rPr>
        <sz val="11"/>
        <color theme="1"/>
        <rFont val="宋体"/>
        <family val="3"/>
        <charset val="134"/>
      </rPr>
      <t>的行动会被均认为为反抛。</t>
    </r>
    <phoneticPr fontId="1" type="noConversion"/>
  </si>
  <si>
    <t>新原点x0</t>
    <phoneticPr fontId="1" type="noConversion"/>
  </si>
  <si>
    <r>
      <rPr>
        <sz val="11"/>
        <color rgb="FF00B050"/>
        <rFont val="宋体"/>
        <family val="3"/>
        <charset val="134"/>
      </rPr>
      <t>新原点</t>
    </r>
    <r>
      <rPr>
        <sz val="11"/>
        <color rgb="FF00B050"/>
        <rFont val="Tahoma"/>
        <family val="2"/>
        <charset val="134"/>
      </rPr>
      <t>y0</t>
    </r>
    <phoneticPr fontId="1" type="noConversion"/>
  </si>
  <si>
    <r>
      <rPr>
        <sz val="11"/>
        <color rgb="FF007635"/>
        <rFont val="宋体"/>
        <family val="3"/>
        <charset val="134"/>
      </rPr>
      <t>修正位移</t>
    </r>
    <r>
      <rPr>
        <sz val="11"/>
        <color rgb="FF007635"/>
        <rFont val="Tahoma"/>
        <family val="2"/>
        <charset val="134"/>
      </rPr>
      <t>x</t>
    </r>
    <phoneticPr fontId="1" type="noConversion"/>
  </si>
  <si>
    <r>
      <rPr>
        <sz val="11"/>
        <color rgb="FF007635"/>
        <rFont val="宋体"/>
        <family val="3"/>
        <charset val="134"/>
      </rPr>
      <t>修正位移</t>
    </r>
    <r>
      <rPr>
        <sz val="11"/>
        <color rgb="FF007635"/>
        <rFont val="Tahoma"/>
        <family val="2"/>
        <charset val="134"/>
      </rPr>
      <t>y</t>
    </r>
    <phoneticPr fontId="1" type="noConversion"/>
  </si>
  <si>
    <t>防无解功能</t>
    <phoneticPr fontId="1" type="noConversion"/>
  </si>
  <si>
    <t>角度α</t>
    <phoneticPr fontId="1" type="noConversion"/>
  </si>
  <si>
    <t>出手点进一步修正</t>
    <phoneticPr fontId="1" type="noConversion"/>
  </si>
  <si>
    <t>出手点半径</t>
    <phoneticPr fontId="1" type="noConversion"/>
  </si>
  <si>
    <t>坡度(自己估计值)</t>
    <phoneticPr fontId="1" type="noConversion"/>
  </si>
  <si>
    <t>坡度(精确值)</t>
    <phoneticPr fontId="1" type="noConversion"/>
  </si>
  <si>
    <t>所带武器平地最低角</t>
    <phoneticPr fontId="1" type="noConversion"/>
  </si>
  <si>
    <t>请输入当前最低角</t>
    <phoneticPr fontId="1" type="noConversion"/>
  </si>
  <si>
    <t>平地出手点方向</t>
    <phoneticPr fontId="1" type="noConversion"/>
  </si>
  <si>
    <t>平地出手点坐标</t>
    <phoneticPr fontId="1" type="noConversion"/>
  </si>
  <si>
    <t>未采用</t>
    <phoneticPr fontId="1" type="noConversion"/>
  </si>
  <si>
    <t>采用</t>
    <phoneticPr fontId="1" type="noConversion"/>
  </si>
  <si>
    <t>坡度采用情况</t>
    <phoneticPr fontId="1" type="noConversion"/>
  </si>
  <si>
    <r>
      <t>(sin</t>
    </r>
    <r>
      <rPr>
        <sz val="11"/>
        <color theme="1"/>
        <rFont val="宋体"/>
        <family val="3"/>
        <charset val="134"/>
      </rPr>
      <t>用于进一步削弱指数部分在低角度部分数值</t>
    </r>
    <r>
      <rPr>
        <sz val="11"/>
        <color theme="1"/>
        <rFont val="Tahoma"/>
        <family val="2"/>
        <charset val="134"/>
      </rPr>
      <t>(</t>
    </r>
    <r>
      <rPr>
        <sz val="11"/>
        <color theme="1"/>
        <rFont val="宋体"/>
        <family val="3"/>
        <charset val="134"/>
      </rPr>
      <t>而保留高角度数值</t>
    </r>
    <r>
      <rPr>
        <sz val="11"/>
        <color theme="1"/>
        <rFont val="Tahoma"/>
        <family val="2"/>
        <charset val="134"/>
      </rPr>
      <t>)</t>
    </r>
    <r>
      <rPr>
        <sz val="11"/>
        <color theme="1"/>
        <rFont val="宋体"/>
        <family val="3"/>
        <charset val="134"/>
      </rPr>
      <t>，进而增大负指数总体在低角度部分的幅值，更快地达到低角度系数趋近于</t>
    </r>
    <r>
      <rPr>
        <sz val="11"/>
        <color theme="1"/>
        <rFont val="Tahoma"/>
        <family val="2"/>
        <charset val="134"/>
      </rPr>
      <t>1</t>
    </r>
    <r>
      <rPr>
        <sz val="11"/>
        <color theme="1"/>
        <rFont val="宋体"/>
        <family val="3"/>
        <charset val="134"/>
      </rPr>
      <t>的要求；</t>
    </r>
    <r>
      <rPr>
        <sz val="11"/>
        <color theme="1"/>
        <rFont val="Tahoma"/>
        <family val="2"/>
        <charset val="134"/>
      </rPr>
      <t>tan</t>
    </r>
    <r>
      <rPr>
        <sz val="11"/>
        <color theme="1"/>
        <rFont val="宋体"/>
        <family val="3"/>
        <charset val="134"/>
      </rPr>
      <t>用于进一步</t>
    </r>
    <r>
      <rPr>
        <sz val="11"/>
        <color theme="1"/>
        <rFont val="Tahoma"/>
        <family val="2"/>
        <charset val="134"/>
      </rPr>
      <t>enhance</t>
    </r>
    <r>
      <rPr>
        <sz val="11"/>
        <color theme="1"/>
        <rFont val="宋体"/>
        <family val="3"/>
        <charset val="134"/>
      </rPr>
      <t>增强指数部分的高角度部分</t>
    </r>
    <r>
      <rPr>
        <sz val="11"/>
        <color theme="1"/>
        <rFont val="Tahoma"/>
        <family val="2"/>
        <charset val="134"/>
      </rPr>
      <t>(</t>
    </r>
    <r>
      <rPr>
        <sz val="11"/>
        <color theme="1"/>
        <rFont val="宋体"/>
        <family val="3"/>
        <charset val="134"/>
      </rPr>
      <t>而不影响低角度极限为</t>
    </r>
    <r>
      <rPr>
        <sz val="11"/>
        <color theme="1"/>
        <rFont val="Tahoma"/>
        <family val="2"/>
        <charset val="134"/>
      </rPr>
      <t>0</t>
    </r>
    <r>
      <rPr>
        <sz val="11"/>
        <color theme="1"/>
        <rFont val="宋体"/>
        <family val="3"/>
        <charset val="134"/>
      </rPr>
      <t>，虽</t>
    </r>
    <r>
      <rPr>
        <sz val="11"/>
        <color theme="1"/>
        <rFont val="Tahoma"/>
        <family val="2"/>
        <charset val="134"/>
      </rPr>
      <t>tan</t>
    </r>
    <r>
      <rPr>
        <sz val="11"/>
        <color theme="1"/>
        <rFont val="宋体"/>
        <family val="3"/>
        <charset val="134"/>
      </rPr>
      <t>的低角度极限也为</t>
    </r>
    <r>
      <rPr>
        <sz val="11"/>
        <color theme="1"/>
        <rFont val="Tahoma"/>
        <family val="2"/>
        <charset val="134"/>
      </rPr>
      <t>0</t>
    </r>
    <r>
      <rPr>
        <sz val="11"/>
        <color theme="1"/>
        <rFont val="宋体"/>
        <family val="3"/>
        <charset val="134"/>
      </rPr>
      <t>，但比</t>
    </r>
    <r>
      <rPr>
        <sz val="11"/>
        <color theme="1"/>
        <rFont val="Tahoma"/>
        <family val="2"/>
        <charset val="134"/>
      </rPr>
      <t>sin</t>
    </r>
    <r>
      <rPr>
        <sz val="11"/>
        <color theme="1"/>
        <rFont val="宋体"/>
        <family val="3"/>
        <charset val="134"/>
      </rPr>
      <t>大</t>
    </r>
    <r>
      <rPr>
        <sz val="11"/>
        <color theme="1"/>
        <rFont val="Tahoma"/>
        <family val="2"/>
        <charset val="134"/>
      </rPr>
      <t>)</t>
    </r>
    <r>
      <rPr>
        <sz val="11"/>
        <color theme="1"/>
        <rFont val="宋体"/>
        <family val="3"/>
        <charset val="134"/>
      </rPr>
      <t>，进而削弱出手半径对高角度抛射的影响因子，更快地达到此时系数趋近于</t>
    </r>
    <r>
      <rPr>
        <sz val="11"/>
        <color theme="1"/>
        <rFont val="Tahoma"/>
        <family val="2"/>
        <charset val="134"/>
      </rPr>
      <t>0</t>
    </r>
    <r>
      <rPr>
        <sz val="11"/>
        <color theme="1"/>
        <rFont val="宋体"/>
        <family val="3"/>
        <charset val="134"/>
      </rPr>
      <t>的要求；从而实现两极分化的图景</t>
    </r>
    <r>
      <rPr>
        <sz val="11"/>
        <color theme="1"/>
        <rFont val="Tahoma"/>
        <family val="2"/>
        <charset val="134"/>
      </rPr>
      <t>)</t>
    </r>
    <phoneticPr fontId="1" type="noConversion"/>
  </si>
  <si>
    <r>
      <t>(</t>
    </r>
    <r>
      <rPr>
        <sz val="11"/>
        <color theme="1"/>
        <rFont val="宋体"/>
        <family val="3"/>
        <charset val="134"/>
      </rPr>
      <t>用于纪念，未采用；之后我把</t>
    </r>
    <r>
      <rPr>
        <sz val="11"/>
        <color theme="1"/>
        <rFont val="Tahoma"/>
        <family val="2"/>
        <charset val="134"/>
      </rPr>
      <t>cos</t>
    </r>
    <r>
      <rPr>
        <sz val="11"/>
        <color theme="1"/>
        <rFont val="宋体"/>
        <family val="3"/>
        <charset val="134"/>
      </rPr>
      <t>改为了负指数形式，它们均是自变量→</t>
    </r>
    <r>
      <rPr>
        <sz val="11"/>
        <color theme="1"/>
        <rFont val="Tahoma"/>
        <family val="2"/>
        <charset val="134"/>
      </rPr>
      <t>0</t>
    </r>
    <r>
      <rPr>
        <sz val="11"/>
        <color theme="1"/>
        <rFont val="宋体"/>
        <family val="3"/>
        <charset val="134"/>
      </rPr>
      <t>时函数值趋近于</t>
    </r>
    <r>
      <rPr>
        <sz val="11"/>
        <color theme="1"/>
        <rFont val="Tahoma"/>
        <family val="2"/>
        <charset val="134"/>
      </rPr>
      <t>1</t>
    </r>
    <r>
      <rPr>
        <sz val="11"/>
        <color theme="1"/>
        <rFont val="宋体"/>
        <family val="3"/>
        <charset val="134"/>
      </rPr>
      <t>，自变量趋近于某值时函数值→</t>
    </r>
    <r>
      <rPr>
        <sz val="11"/>
        <color theme="1"/>
        <rFont val="Tahoma"/>
        <family val="2"/>
        <charset val="134"/>
      </rPr>
      <t>0</t>
    </r>
    <r>
      <rPr>
        <sz val="11"/>
        <color theme="1"/>
        <rFont val="宋体"/>
        <family val="3"/>
        <charset val="134"/>
      </rPr>
      <t>，该值对于</t>
    </r>
    <r>
      <rPr>
        <sz val="11"/>
        <color theme="1"/>
        <rFont val="Tahoma"/>
        <family val="2"/>
        <charset val="134"/>
      </rPr>
      <t>cos</t>
    </r>
    <r>
      <rPr>
        <sz val="11"/>
        <color theme="1"/>
        <rFont val="宋体"/>
        <family val="3"/>
        <charset val="134"/>
      </rPr>
      <t>来说是π</t>
    </r>
    <r>
      <rPr>
        <sz val="11"/>
        <color theme="1"/>
        <rFont val="Tahoma"/>
        <family val="2"/>
        <charset val="134"/>
      </rPr>
      <t>/2</t>
    </r>
    <r>
      <rPr>
        <sz val="11"/>
        <color theme="1"/>
        <rFont val="宋体"/>
        <family val="3"/>
        <charset val="134"/>
      </rPr>
      <t>，对于负指数来说，是无穷大；于是我们用</t>
    </r>
    <r>
      <rPr>
        <sz val="11"/>
        <color theme="1"/>
        <rFont val="Tahoma"/>
        <family val="2"/>
        <charset val="134"/>
      </rPr>
      <t>sintan</t>
    </r>
    <r>
      <rPr>
        <sz val="11"/>
        <color theme="1"/>
        <rFont val="宋体"/>
        <family val="3"/>
        <charset val="134"/>
      </rPr>
      <t>相乘的形式作为负指数的自变量</t>
    </r>
    <r>
      <rPr>
        <sz val="11"/>
        <color theme="1"/>
        <rFont val="Tahoma"/>
        <family val="2"/>
        <charset val="134"/>
      </rPr>
      <t>(</t>
    </r>
    <r>
      <rPr>
        <sz val="11"/>
        <color theme="1"/>
        <rFont val="宋体"/>
        <family val="3"/>
        <charset val="134"/>
      </rPr>
      <t>指数部分</t>
    </r>
    <r>
      <rPr>
        <sz val="11"/>
        <color theme="1"/>
        <rFont val="Tahoma"/>
        <family val="2"/>
        <charset val="134"/>
      </rPr>
      <t>)</t>
    </r>
    <r>
      <rPr>
        <sz val="11"/>
        <color theme="1"/>
        <rFont val="宋体"/>
        <family val="3"/>
        <charset val="134"/>
      </rPr>
      <t>，让负指数随着真正的自变量——角度的增加，而更快地趋近于</t>
    </r>
    <r>
      <rPr>
        <sz val="11"/>
        <color theme="1"/>
        <rFont val="Tahoma"/>
        <family val="2"/>
        <charset val="134"/>
      </rPr>
      <t>0</t>
    </r>
    <r>
      <rPr>
        <sz val="11"/>
        <color theme="1"/>
        <rFont val="宋体"/>
        <family val="3"/>
        <charset val="134"/>
      </rPr>
      <t>，即使得高角度时，出手半径的影响比原先低很多</t>
    </r>
    <r>
      <rPr>
        <sz val="11"/>
        <color theme="1"/>
        <rFont val="Tahoma"/>
        <family val="2"/>
        <charset val="134"/>
      </rPr>
      <t>)</t>
    </r>
    <phoneticPr fontId="1" type="noConversion"/>
  </si>
  <si>
    <r>
      <rPr>
        <sz val="11"/>
        <color theme="1"/>
        <rFont val="宋体"/>
        <family val="3"/>
        <charset val="134"/>
      </rPr>
      <t>防无解功能是针对当时只能单个数据单个数据地按照一定的先后次序，顺序输入</t>
    </r>
    <r>
      <rPr>
        <sz val="11"/>
        <color theme="1"/>
        <rFont val="Tahoma"/>
        <family val="2"/>
        <charset val="134"/>
      </rPr>
      <t>4</t>
    </r>
    <r>
      <rPr>
        <sz val="11"/>
        <color theme="1"/>
        <rFont val="宋体"/>
        <family val="3"/>
        <charset val="134"/>
      </rPr>
      <t>个数据，此时可能会导致其中两个数据相互矛盾，以至于数据出错</t>
    </r>
    <r>
      <rPr>
        <sz val="11"/>
        <color theme="1"/>
        <rFont val="Tahoma"/>
        <family val="2"/>
        <charset val="134"/>
      </rPr>
      <t>/</t>
    </r>
    <r>
      <rPr>
        <sz val="11"/>
        <color theme="1"/>
        <rFont val="宋体"/>
        <family val="3"/>
        <charset val="134"/>
      </rPr>
      <t>溢出，比如角度是</t>
    </r>
    <r>
      <rPr>
        <sz val="11"/>
        <color theme="1"/>
        <rFont val="Tahoma"/>
        <family val="2"/>
        <charset val="134"/>
      </rPr>
      <t>&lt;90</t>
    </r>
    <r>
      <rPr>
        <sz val="11"/>
        <color theme="1"/>
        <rFont val="宋体"/>
        <family val="3"/>
        <charset val="134"/>
      </rPr>
      <t>的但</t>
    </r>
    <r>
      <rPr>
        <sz val="11"/>
        <color theme="1"/>
        <rFont val="Tahoma"/>
        <family val="2"/>
        <charset val="134"/>
      </rPr>
      <t>x2-x1</t>
    </r>
    <r>
      <rPr>
        <sz val="11"/>
        <color theme="1"/>
        <rFont val="宋体"/>
        <family val="3"/>
        <charset val="134"/>
      </rPr>
      <t>却是负的；或者角度是</t>
    </r>
    <r>
      <rPr>
        <sz val="11"/>
        <color theme="1"/>
        <rFont val="Tahoma"/>
        <family val="2"/>
        <charset val="134"/>
      </rPr>
      <t>&gt;90</t>
    </r>
    <r>
      <rPr>
        <sz val="11"/>
        <color theme="1"/>
        <rFont val="宋体"/>
        <family val="3"/>
        <charset val="134"/>
      </rPr>
      <t>的但</t>
    </r>
    <r>
      <rPr>
        <sz val="11"/>
        <color theme="1"/>
        <rFont val="Tahoma"/>
        <family val="2"/>
        <charset val="134"/>
      </rPr>
      <t>x2-x1</t>
    </r>
    <r>
      <rPr>
        <sz val="11"/>
        <color theme="1"/>
        <rFont val="宋体"/>
        <family val="3"/>
        <charset val="134"/>
      </rPr>
      <t>是正的；</t>
    </r>
    <r>
      <rPr>
        <sz val="11"/>
        <color theme="1"/>
        <rFont val="Tahoma"/>
        <family val="2"/>
        <charset val="134"/>
      </rPr>
      <t>(</t>
    </r>
    <r>
      <rPr>
        <sz val="11"/>
        <color theme="1"/>
        <rFont val="宋体"/>
        <family val="3"/>
        <charset val="134"/>
      </rPr>
      <t>这些都对应着角度信息的及时更新是渐变的</t>
    </r>
    <r>
      <rPr>
        <sz val="11"/>
        <color theme="1"/>
        <rFont val="Tahoma"/>
        <family val="2"/>
        <charset val="134"/>
      </rPr>
      <t>(</t>
    </r>
    <r>
      <rPr>
        <sz val="11"/>
        <color theme="1"/>
        <rFont val="宋体"/>
        <family val="3"/>
        <charset val="134"/>
      </rPr>
      <t>对于页游辅助来说</t>
    </r>
    <r>
      <rPr>
        <sz val="11"/>
        <color theme="1"/>
        <rFont val="Tahoma"/>
        <family val="2"/>
        <charset val="134"/>
      </rPr>
      <t>)</t>
    </r>
    <r>
      <rPr>
        <sz val="11"/>
        <color theme="1"/>
        <rFont val="宋体"/>
        <family val="3"/>
        <charset val="134"/>
      </rPr>
      <t>，有个越过</t>
    </r>
    <r>
      <rPr>
        <sz val="11"/>
        <color theme="1"/>
        <rFont val="Tahoma"/>
        <family val="2"/>
        <charset val="134"/>
      </rPr>
      <t>90°</t>
    </r>
    <r>
      <rPr>
        <sz val="11"/>
        <color theme="1"/>
        <rFont val="宋体"/>
        <family val="3"/>
        <charset val="134"/>
      </rPr>
      <t>的过程，因而若在角度越过</t>
    </r>
    <r>
      <rPr>
        <sz val="11"/>
        <color theme="1"/>
        <rFont val="Tahoma"/>
        <family val="2"/>
        <charset val="134"/>
      </rPr>
      <t>90°</t>
    </r>
    <r>
      <rPr>
        <sz val="11"/>
        <color theme="1"/>
        <rFont val="宋体"/>
        <family val="3"/>
        <charset val="134"/>
      </rPr>
      <t>之前，改变自身朝向而使得自身</t>
    </r>
    <r>
      <rPr>
        <sz val="11"/>
        <color theme="1"/>
        <rFont val="Tahoma"/>
        <family val="2"/>
        <charset val="134"/>
      </rPr>
      <t>(x</t>
    </r>
    <r>
      <rPr>
        <sz val="11"/>
        <color theme="1"/>
        <rFont val="宋体"/>
        <family val="3"/>
        <charset val="134"/>
      </rPr>
      <t>轴</t>
    </r>
    <r>
      <rPr>
        <sz val="11"/>
        <color theme="1"/>
        <rFont val="Tahoma"/>
        <family val="2"/>
        <charset val="134"/>
      </rPr>
      <t>)</t>
    </r>
    <r>
      <rPr>
        <sz val="11"/>
        <color theme="1"/>
        <rFont val="宋体"/>
        <family val="3"/>
        <charset val="134"/>
      </rPr>
      <t>不再正对对方时，就会无解</t>
    </r>
    <r>
      <rPr>
        <sz val="11"/>
        <color theme="1"/>
        <rFont val="Tahoma"/>
        <family val="2"/>
        <charset val="134"/>
      </rPr>
      <t>)</t>
    </r>
    <r>
      <rPr>
        <sz val="11"/>
        <color theme="1"/>
        <rFont val="宋体"/>
        <family val="3"/>
        <charset val="134"/>
      </rPr>
      <t>它们的物理图景本身就是不可能打中的</t>
    </r>
    <r>
      <rPr>
        <sz val="11"/>
        <color theme="1"/>
        <rFont val="Tahoma"/>
        <family val="2"/>
        <charset val="134"/>
      </rPr>
      <t>/</t>
    </r>
    <r>
      <rPr>
        <sz val="11"/>
        <color theme="1"/>
        <rFont val="宋体"/>
        <family val="3"/>
        <charset val="134"/>
      </rPr>
      <t>无解的。当然，也有可能是事先把角度调得越过</t>
    </r>
    <r>
      <rPr>
        <sz val="11"/>
        <color theme="1"/>
        <rFont val="Tahoma"/>
        <family val="2"/>
        <charset val="134"/>
      </rPr>
      <t>90°</t>
    </r>
    <r>
      <rPr>
        <sz val="11"/>
        <color theme="1"/>
        <rFont val="宋体"/>
        <family val="3"/>
        <charset val="134"/>
      </rPr>
      <t>，然后再调整</t>
    </r>
    <r>
      <rPr>
        <sz val="11"/>
        <color theme="1"/>
        <rFont val="Tahoma"/>
        <family val="2"/>
        <charset val="134"/>
      </rPr>
      <t>x=x2-x1</t>
    </r>
    <r>
      <rPr>
        <sz val="11"/>
        <color theme="1"/>
        <rFont val="宋体"/>
        <family val="3"/>
        <charset val="134"/>
      </rPr>
      <t>的正负，这仍然会造成无解。</t>
    </r>
    <phoneticPr fontId="1" type="noConversion"/>
  </si>
  <si>
    <r>
      <t>(</t>
    </r>
    <r>
      <rPr>
        <sz val="11"/>
        <color theme="1"/>
        <rFont val="宋体"/>
        <family val="3"/>
        <charset val="134"/>
      </rPr>
      <t>像角度一样，距离越远、角度越高，出手半径得越小；距离越近、角度越低，出手半径得越大</t>
    </r>
    <r>
      <rPr>
        <sz val="11"/>
        <color theme="1"/>
        <rFont val="Tahoma"/>
        <family val="2"/>
        <charset val="134"/>
      </rPr>
      <t>)</t>
    </r>
    <phoneticPr fontId="1" type="noConversion"/>
  </si>
  <si>
    <t>咱这个图，相当于先将我方背对敌方时的坐标量，改写为我方正对敌方时的坐标量(但两者曲线是一样的，只是不同的自己的坐标系下，对风力、x=x2-x1、角度三者的描述/给出值的正负(针对风力和x)和大小(针对角度关于90°镜面对称)不同)，但是注意，坐标系中的所有物理量和实物均不跟着自身坐标系x轴的改变而翻折；然后再将所有我方正对敌方时的抛物线图景，“再”进行左右翻折，使得x轴原本朝左边的自己坐标系翻折为x轴朝着右边(之前是使得原本背离对方的x轴，变得朝向对方，并没有保证到底朝着左还是右，这取决于对方相对于你在你的何方)，并且坐标系中的所有物理量和实物此时均视为固定在坐标系上(之前并不以之为背景，而是坐标系与它们独立，它们并不跟着坐标系翻转)，并跟着翻折，即得到了如上所示的图。</t>
    <phoneticPr fontId="1" type="noConversion"/>
  </si>
  <si>
    <r>
      <t>(</t>
    </r>
    <r>
      <rPr>
        <sz val="11"/>
        <color theme="1"/>
        <rFont val="宋体"/>
        <family val="3"/>
        <charset val="134"/>
      </rPr>
      <t>即将人物中心作为子弹出射原点，修正为枪口作为出射原点；期间要考虑绝对原点</t>
    </r>
    <r>
      <rPr>
        <sz val="11"/>
        <color theme="1"/>
        <rFont val="Tahoma"/>
        <family val="2"/>
        <charset val="134"/>
      </rPr>
      <t>[</t>
    </r>
    <r>
      <rPr>
        <sz val="11"/>
        <color theme="1"/>
        <rFont val="宋体"/>
        <family val="3"/>
        <charset val="134"/>
      </rPr>
      <t>即手游中</t>
    </r>
    <r>
      <rPr>
        <sz val="11"/>
        <color theme="1"/>
        <rFont val="Tahoma"/>
        <family val="2"/>
        <charset val="134"/>
      </rPr>
      <t>(0,0)</t>
    </r>
    <r>
      <rPr>
        <sz val="11"/>
        <color theme="1"/>
        <rFont val="宋体"/>
        <family val="3"/>
        <charset val="134"/>
      </rPr>
      <t>位置处：</t>
    </r>
    <r>
      <rPr>
        <sz val="11"/>
        <color theme="1"/>
        <rFont val="Tahoma"/>
        <family val="2"/>
        <charset val="134"/>
      </rPr>
      <t>(F8/10,E9)]</t>
    </r>
    <r>
      <rPr>
        <sz val="11"/>
        <color theme="1"/>
        <rFont val="宋体"/>
        <family val="3"/>
        <charset val="134"/>
      </rPr>
      <t>、角度调整所绕点旋转的点</t>
    </r>
    <r>
      <rPr>
        <sz val="11"/>
        <color theme="1"/>
        <rFont val="Tahoma"/>
        <family val="2"/>
        <charset val="134"/>
      </rPr>
      <t>[</t>
    </r>
    <r>
      <rPr>
        <sz val="11"/>
        <color theme="1"/>
        <rFont val="宋体"/>
        <family val="3"/>
        <charset val="134"/>
      </rPr>
      <t>由平地的自身坐标系下的</t>
    </r>
    <r>
      <rPr>
        <sz val="11"/>
        <color theme="1"/>
        <rFont val="Tahoma"/>
        <family val="2"/>
        <charset val="134"/>
      </rPr>
      <t>(-0.3,0.3)</t>
    </r>
    <r>
      <rPr>
        <sz val="11"/>
        <color theme="1"/>
        <rFont val="宋体"/>
        <family val="3"/>
        <charset val="134"/>
      </rPr>
      <t>和坡度</t>
    </r>
    <r>
      <rPr>
        <sz val="11"/>
        <color theme="1"/>
        <rFont val="Tahoma"/>
        <family val="2"/>
        <charset val="134"/>
      </rPr>
      <t>(</t>
    </r>
    <r>
      <rPr>
        <sz val="11"/>
        <color theme="1"/>
        <rFont val="宋体"/>
        <family val="3"/>
        <charset val="134"/>
      </rPr>
      <t>使得该点绕绝对原点旋转</t>
    </r>
    <r>
      <rPr>
        <sz val="11"/>
        <color theme="1"/>
        <rFont val="Tahoma"/>
        <family val="2"/>
        <charset val="134"/>
      </rPr>
      <t>)</t>
    </r>
    <r>
      <rPr>
        <sz val="11"/>
        <color theme="1"/>
        <rFont val="宋体"/>
        <family val="3"/>
        <charset val="134"/>
      </rPr>
      <t>构成：</t>
    </r>
    <r>
      <rPr>
        <sz val="11"/>
        <color theme="1"/>
        <rFont val="Tahoma"/>
        <family val="2"/>
        <charset val="134"/>
      </rPr>
      <t>(A8,B8)]</t>
    </r>
    <r>
      <rPr>
        <sz val="11"/>
        <color theme="1"/>
        <rFont val="宋体"/>
        <family val="3"/>
        <charset val="134"/>
      </rPr>
      <t>、绕该点旋转的出手半径以及其修正：</t>
    </r>
    <r>
      <rPr>
        <sz val="11"/>
        <color theme="1"/>
        <rFont val="Tahoma"/>
        <family val="2"/>
        <charset val="134"/>
      </rPr>
      <t>(COS(RADIANS(F11))*A2*E6, SIN(RADIANS(F11))*A2*E6))</t>
    </r>
    <phoneticPr fontId="1" type="noConversion"/>
  </si>
  <si>
    <r>
      <t>(</t>
    </r>
    <r>
      <rPr>
        <sz val="11"/>
        <color theme="1"/>
        <rFont val="宋体"/>
        <family val="3"/>
        <charset val="134"/>
      </rPr>
      <t>坡度：自身现有</t>
    </r>
    <r>
      <rPr>
        <sz val="11"/>
        <color theme="1"/>
        <rFont val="Tahoma"/>
        <family val="2"/>
        <charset val="134"/>
      </rPr>
      <t>x</t>
    </r>
    <r>
      <rPr>
        <sz val="11"/>
        <color theme="1"/>
        <rFont val="宋体"/>
        <family val="3"/>
        <charset val="134"/>
      </rPr>
      <t>轴相对于水平状态，即以</t>
    </r>
    <r>
      <rPr>
        <sz val="11"/>
        <color theme="1"/>
        <rFont val="Tahoma"/>
        <family val="2"/>
        <charset val="134"/>
      </rPr>
      <t>x</t>
    </r>
    <r>
      <rPr>
        <sz val="11"/>
        <color theme="1"/>
        <rFont val="宋体"/>
        <family val="3"/>
        <charset val="134"/>
      </rPr>
      <t>轴水平水平时候的自身坐标系来量度，值为多少。向上</t>
    </r>
    <r>
      <rPr>
        <sz val="11"/>
        <color theme="1"/>
        <rFont val="Tahoma"/>
        <family val="2"/>
        <charset val="134"/>
      </rPr>
      <t>/</t>
    </r>
    <r>
      <rPr>
        <sz val="11"/>
        <color theme="1"/>
        <rFont val="宋体"/>
        <family val="3"/>
        <charset val="134"/>
      </rPr>
      <t>朝着</t>
    </r>
    <r>
      <rPr>
        <sz val="11"/>
        <color theme="1"/>
        <rFont val="Tahoma"/>
        <family val="2"/>
        <charset val="134"/>
      </rPr>
      <t>y</t>
    </r>
    <r>
      <rPr>
        <sz val="11"/>
        <color theme="1"/>
        <rFont val="宋体"/>
        <family val="3"/>
        <charset val="134"/>
      </rPr>
      <t>轴偏转，记为正；朝着</t>
    </r>
    <r>
      <rPr>
        <sz val="11"/>
        <color theme="1"/>
        <rFont val="Tahoma"/>
        <family val="2"/>
        <charset val="134"/>
      </rPr>
      <t>y</t>
    </r>
    <r>
      <rPr>
        <sz val="11"/>
        <color theme="1"/>
        <rFont val="宋体"/>
        <family val="3"/>
        <charset val="134"/>
      </rPr>
      <t>轴负向偏转，记为负——这协调于：以</t>
    </r>
    <r>
      <rPr>
        <sz val="11"/>
        <color theme="1"/>
        <rFont val="Tahoma"/>
        <family val="2"/>
        <charset val="134"/>
      </rPr>
      <t>x</t>
    </r>
    <r>
      <rPr>
        <sz val="11"/>
        <color theme="1"/>
        <rFont val="宋体"/>
        <family val="3"/>
        <charset val="134"/>
      </rPr>
      <t>轴水平时候的原有坐标系为参考系，</t>
    </r>
    <r>
      <rPr>
        <sz val="11"/>
        <color theme="1"/>
        <rFont val="Tahoma"/>
        <family val="2"/>
        <charset val="134"/>
      </rPr>
      <t>x</t>
    </r>
    <r>
      <rPr>
        <sz val="11"/>
        <color theme="1"/>
        <rFont val="宋体"/>
        <family val="3"/>
        <charset val="134"/>
      </rPr>
      <t>轴逆时针偏转为正，顺时针偏转为负</t>
    </r>
    <r>
      <rPr>
        <sz val="11"/>
        <color theme="1"/>
        <rFont val="Tahoma"/>
        <family val="2"/>
        <charset val="134"/>
      </rPr>
      <t>)——</t>
    </r>
    <r>
      <rPr>
        <sz val="11"/>
        <color theme="1"/>
        <rFont val="宋体"/>
        <family val="3"/>
        <charset val="134"/>
      </rPr>
      <t>由于游戏所给的角度就是以自身参考系为基准的，因此武器的最低角或是最高角，相对于平地时候的最低角</t>
    </r>
    <r>
      <rPr>
        <sz val="11"/>
        <color theme="1"/>
        <rFont val="Tahoma"/>
        <family val="2"/>
        <charset val="134"/>
      </rPr>
      <t>or</t>
    </r>
    <r>
      <rPr>
        <sz val="11"/>
        <color theme="1"/>
        <rFont val="宋体"/>
        <family val="3"/>
        <charset val="134"/>
      </rPr>
      <t>最高角的变化情况，就反映了坡度情况。</t>
    </r>
    <phoneticPr fontId="1" type="noConversion"/>
  </si>
  <si>
    <t>取值范围，像atan一样，为﹣90~90°</t>
    <phoneticPr fontId="1" type="noConversion"/>
  </si>
  <si>
    <r>
      <t>(</t>
    </r>
    <r>
      <rPr>
        <sz val="11"/>
        <color theme="1"/>
        <rFont val="宋体"/>
        <family val="3"/>
        <charset val="134"/>
      </rPr>
      <t>即将人物中心作为子弹出射原点，暂时修正为以角度的旋转中心点作为出射原点，但是最终的出射口是枪口，枪支有长度</t>
    </r>
    <r>
      <rPr>
        <sz val="11"/>
        <color theme="1"/>
        <rFont val="Tahoma"/>
        <family val="2"/>
        <charset val="134"/>
      </rPr>
      <t>(</t>
    </r>
    <r>
      <rPr>
        <sz val="11"/>
        <color theme="1"/>
        <rFont val="宋体"/>
        <family val="3"/>
        <charset val="134"/>
      </rPr>
      <t>即出手半径</t>
    </r>
    <r>
      <rPr>
        <sz val="11"/>
        <color theme="1"/>
        <rFont val="Tahoma"/>
        <family val="2"/>
        <charset val="134"/>
      </rPr>
      <t>)</t>
    </r>
    <r>
      <rPr>
        <sz val="11"/>
        <color theme="1"/>
        <rFont val="宋体"/>
        <family val="3"/>
        <charset val="134"/>
      </rPr>
      <t>，枪支绕着该旋转中心点旋转</t>
    </r>
    <r>
      <rPr>
        <sz val="11"/>
        <color theme="1"/>
        <rFont val="Tahoma"/>
        <family val="2"/>
        <charset val="134"/>
      </rPr>
      <t>)——</t>
    </r>
    <r>
      <rPr>
        <sz val="11"/>
        <color theme="1"/>
        <rFont val="宋体"/>
        <family val="3"/>
        <charset val="134"/>
      </rPr>
      <t>因此，从角度的旋转中心的角度来看，该旋转中心点才是出射原点；然而从出射点来看，枪口才是原点；然而由于枪支内弹道是直线，子弹在枪口处的出射方向，即为枪支本身相对于旋转中心的朝向，所以枪口既满足出射点，又满足等效旋转点两个条件，因而枪口才是原点。</t>
    </r>
    <phoneticPr fontId="1" type="noConversion"/>
  </si>
  <si>
    <r>
      <t>(</t>
    </r>
    <r>
      <rPr>
        <sz val="11"/>
        <color theme="1"/>
        <rFont val="宋体"/>
        <family val="3"/>
        <charset val="134"/>
      </rPr>
      <t>枪口处的子弹初速度</t>
    </r>
    <r>
      <rPr>
        <sz val="11"/>
        <color theme="1"/>
        <rFont val="Tahoma"/>
        <family val="2"/>
        <charset val="134"/>
      </rPr>
      <t>)</t>
    </r>
    <phoneticPr fontId="1" type="noConversion"/>
  </si>
  <si>
    <t>正抛数据的真实值</t>
    <phoneticPr fontId="1" type="noConversion"/>
  </si>
  <si>
    <t>********</t>
    <phoneticPr fontId="1" type="noConversion"/>
  </si>
  <si>
    <t>程序/数学公式本身应该支持反抛的，但或许由于sheet change事件反应灵敏过度(或者说数据输入相对于运算速度来说太迟钝，以至于两个数据同时输入就没问题的，单个单个地先后输入就会有问题)，导致中途有计算溢出，以至于继续正确运算受阻；现在建立的伪反抛(实际是正抛)机制，在水平加速度上，当因自身坐标系的x轴朝向改变，异于x轴正对着对方的标准坐标系，而使得x变号时，那么输入数据时，相对位移x和风力得同时取负，才能是等效的(描述同一个图景的)，原坐标系(正对对方时)下的原始x和风力(所以我添加了语句：当x被你取负时，在你坐标系下的风力也将是与之前相反的，而假设你老老实实地也相对于你改变后的坐标系读取风力的话，那么我在信任你给我的风力数据是与正抛相反后，要在excel中将风力取反，修正为正抛风力值)；当然，此时的角度是&gt;π/2的(不过有可能是渐变到的)，则角度还要转变为π-当前角度</t>
    <phoneticPr fontId="1" type="noConversion"/>
  </si>
  <si>
    <r>
      <rPr>
        <sz val="11"/>
        <color theme="1"/>
        <rFont val="宋体"/>
        <family val="3"/>
        <charset val="134"/>
      </rPr>
      <t>当然，除了角度，风力信息的输入</t>
    </r>
    <r>
      <rPr>
        <sz val="11"/>
        <color theme="1"/>
        <rFont val="Tahoma"/>
        <family val="2"/>
        <charset val="134"/>
      </rPr>
      <t>/</t>
    </r>
    <r>
      <rPr>
        <sz val="11"/>
        <color theme="1"/>
        <rFont val="宋体"/>
        <family val="3"/>
        <charset val="134"/>
      </rPr>
      <t>更新的</t>
    </r>
    <r>
      <rPr>
        <sz val="11"/>
        <color theme="1"/>
        <rFont val="Tahoma"/>
        <family val="2"/>
        <charset val="134"/>
      </rPr>
      <t>(</t>
    </r>
    <r>
      <rPr>
        <sz val="11"/>
        <color theme="1"/>
        <rFont val="宋体"/>
        <family val="3"/>
        <charset val="134"/>
      </rPr>
      <t>相对</t>
    </r>
    <r>
      <rPr>
        <sz val="11"/>
        <color theme="1"/>
        <rFont val="Tahoma"/>
        <family val="2"/>
        <charset val="134"/>
      </rPr>
      <t>)</t>
    </r>
    <r>
      <rPr>
        <sz val="11"/>
        <color theme="1"/>
        <rFont val="宋体"/>
        <family val="3"/>
        <charset val="134"/>
      </rPr>
      <t>不及时，也会导致计算结果的未及时更新，不过不像角度信息一样，它一般不会造成无解</t>
    </r>
    <r>
      <rPr>
        <sz val="11"/>
        <color theme="1"/>
        <rFont val="Tahoma"/>
        <family val="2"/>
        <charset val="134"/>
      </rPr>
      <t>(</t>
    </r>
    <r>
      <rPr>
        <sz val="11"/>
        <color theme="1"/>
        <rFont val="宋体"/>
        <family val="3"/>
        <charset val="134"/>
      </rPr>
      <t>不过若原来</t>
    </r>
    <r>
      <rPr>
        <sz val="11"/>
        <color theme="1"/>
        <rFont val="Tahoma"/>
        <family val="2"/>
        <charset val="134"/>
      </rPr>
      <t>[/</t>
    </r>
    <r>
      <rPr>
        <sz val="11"/>
        <color theme="1"/>
        <rFont val="宋体"/>
        <family val="3"/>
        <charset val="134"/>
      </rPr>
      <t>现在</t>
    </r>
    <r>
      <rPr>
        <sz val="11"/>
        <color theme="1"/>
        <rFont val="Tahoma"/>
        <family val="2"/>
        <charset val="134"/>
      </rPr>
      <t>]</t>
    </r>
    <r>
      <rPr>
        <sz val="11"/>
        <color theme="1"/>
        <rFont val="宋体"/>
        <family val="3"/>
        <charset val="134"/>
      </rPr>
      <t>的风相对于现在</t>
    </r>
    <r>
      <rPr>
        <sz val="11"/>
        <color theme="1"/>
        <rFont val="Tahoma"/>
        <family val="2"/>
        <charset val="134"/>
      </rPr>
      <t>[/</t>
    </r>
    <r>
      <rPr>
        <sz val="11"/>
        <color theme="1"/>
        <rFont val="宋体"/>
        <family val="3"/>
        <charset val="134"/>
      </rPr>
      <t>之前</t>
    </r>
    <r>
      <rPr>
        <sz val="11"/>
        <color theme="1"/>
        <rFont val="Tahoma"/>
        <family val="2"/>
        <charset val="134"/>
      </rPr>
      <t>]</t>
    </r>
    <r>
      <rPr>
        <sz val="11"/>
        <color theme="1"/>
        <rFont val="宋体"/>
        <family val="3"/>
        <charset val="134"/>
      </rPr>
      <t>的风以外的数据，是很大的逆风时，若后</t>
    </r>
    <r>
      <rPr>
        <sz val="11"/>
        <color theme="1"/>
        <rFont val="Tahoma"/>
        <family val="2"/>
        <charset val="134"/>
      </rPr>
      <t>[/</t>
    </r>
    <r>
      <rPr>
        <sz val="11"/>
        <color theme="1"/>
        <rFont val="宋体"/>
        <family val="3"/>
        <charset val="134"/>
      </rPr>
      <t>先</t>
    </r>
    <r>
      <rPr>
        <sz val="11"/>
        <color theme="1"/>
        <rFont val="Tahoma"/>
        <family val="2"/>
        <charset val="134"/>
      </rPr>
      <t>]</t>
    </r>
    <r>
      <rPr>
        <sz val="11"/>
        <color theme="1"/>
        <rFont val="宋体"/>
        <family val="3"/>
        <charset val="134"/>
      </rPr>
      <t>改变风值，则会造成无解</t>
    </r>
    <r>
      <rPr>
        <sz val="11"/>
        <color theme="1"/>
        <rFont val="Tahoma"/>
        <family val="2"/>
        <charset val="134"/>
      </rPr>
      <t>)</t>
    </r>
    <r>
      <rPr>
        <sz val="11"/>
        <color theme="1"/>
        <rFont val="宋体"/>
        <family val="3"/>
        <charset val="134"/>
      </rPr>
      <t>。因而，风力，</t>
    </r>
    <r>
      <rPr>
        <sz val="11"/>
        <color theme="1"/>
        <rFont val="Tahoma"/>
        <family val="2"/>
        <charset val="134"/>
      </rPr>
      <t>x=x2-x1</t>
    </r>
    <r>
      <rPr>
        <sz val="11"/>
        <color theme="1"/>
        <rFont val="宋体"/>
        <family val="3"/>
        <charset val="134"/>
      </rPr>
      <t>，角度，三个量相互联系着。</t>
    </r>
    <phoneticPr fontId="1" type="noConversion"/>
  </si>
  <si>
    <t>输入数据的Simplify</t>
    <phoneticPr fontId="1" type="noConversion"/>
  </si>
  <si>
    <r>
      <rPr>
        <sz val="11"/>
        <color theme="1"/>
        <rFont val="宋体"/>
        <family val="3"/>
        <charset val="134"/>
      </rPr>
      <t>相对于上一版本，只修改了</t>
    </r>
    <r>
      <rPr>
        <sz val="11"/>
        <color theme="1"/>
        <rFont val="Tahoma"/>
        <family val="2"/>
        <charset val="134"/>
      </rPr>
      <t>E10</t>
    </r>
    <r>
      <rPr>
        <sz val="11"/>
        <color theme="1"/>
        <rFont val="宋体"/>
        <family val="3"/>
        <charset val="134"/>
      </rPr>
      <t>。由于输入的</t>
    </r>
    <r>
      <rPr>
        <sz val="11"/>
        <color theme="1"/>
        <rFont val="Tahoma"/>
        <family val="2"/>
        <charset val="134"/>
      </rPr>
      <t>F8&gt;0</t>
    </r>
    <r>
      <rPr>
        <sz val="11"/>
        <color theme="1"/>
        <rFont val="宋体"/>
        <family val="3"/>
        <charset val="134"/>
      </rPr>
      <t>，则其中的</t>
    </r>
    <r>
      <rPr>
        <sz val="11"/>
        <color theme="1"/>
        <rFont val="Tahoma"/>
        <family val="2"/>
        <charset val="134"/>
      </rPr>
      <t>F8*F15&gt;0</t>
    </r>
    <r>
      <rPr>
        <sz val="11"/>
        <color theme="1"/>
        <rFont val="宋体"/>
        <family val="3"/>
        <charset val="134"/>
      </rPr>
      <t>等效于</t>
    </r>
    <r>
      <rPr>
        <sz val="11"/>
        <color theme="1"/>
        <rFont val="Tahoma"/>
        <family val="2"/>
        <charset val="134"/>
      </rPr>
      <t>F15&gt;0</t>
    </r>
    <r>
      <rPr>
        <sz val="11"/>
        <color theme="1"/>
        <rFont val="宋体"/>
        <family val="3"/>
        <charset val="134"/>
      </rPr>
      <t>等效于</t>
    </r>
    <r>
      <rPr>
        <sz val="11"/>
        <color theme="1"/>
        <rFont val="Tahoma"/>
        <family val="2"/>
        <charset val="134"/>
      </rPr>
      <t>F11&lt;90</t>
    </r>
    <r>
      <rPr>
        <sz val="11"/>
        <color theme="1"/>
        <rFont val="宋体"/>
        <family val="3"/>
        <charset val="134"/>
      </rPr>
      <t>，再用它乘以</t>
    </r>
    <r>
      <rPr>
        <sz val="11"/>
        <color theme="1"/>
        <rFont val="Tahoma"/>
        <family val="2"/>
        <charset val="134"/>
      </rPr>
      <t>F15</t>
    </r>
    <r>
      <rPr>
        <sz val="11"/>
        <color theme="1"/>
        <rFont val="宋体"/>
        <family val="3"/>
        <charset val="134"/>
      </rPr>
      <t>即可</t>
    </r>
    <r>
      <rPr>
        <sz val="11"/>
        <color theme="1"/>
        <rFont val="Tahoma"/>
        <family val="2"/>
        <charset val="134"/>
      </rPr>
      <t>(</t>
    </r>
    <r>
      <rPr>
        <sz val="11"/>
        <color theme="1"/>
        <rFont val="宋体"/>
        <family val="3"/>
        <charset val="134"/>
      </rPr>
      <t>详情参见“第十一版——风力参照正对对方的自己坐标系，类手游版</t>
    </r>
    <r>
      <rPr>
        <sz val="11"/>
        <color theme="1"/>
        <rFont val="Tahoma"/>
        <family val="2"/>
        <charset val="134"/>
      </rPr>
      <t>.e</t>
    </r>
    <r>
      <rPr>
        <sz val="11"/>
        <color theme="1"/>
        <rFont val="宋体"/>
        <family val="3"/>
        <charset val="134"/>
      </rPr>
      <t>”，其中的</t>
    </r>
    <r>
      <rPr>
        <sz val="11"/>
        <color theme="1"/>
        <rFont val="Tahoma"/>
        <family val="2"/>
        <charset val="134"/>
      </rPr>
      <t>a</t>
    </r>
    <r>
      <rPr>
        <sz val="11"/>
        <color theme="1"/>
        <rFont val="宋体"/>
        <family val="3"/>
        <charset val="134"/>
      </rPr>
      <t>为正对对方的自己坐标系下的，则参照自己坐标系才成立的公式中应该输入的是</t>
    </r>
    <r>
      <rPr>
        <sz val="11"/>
        <color theme="1"/>
        <rFont val="Tahoma"/>
        <family val="2"/>
        <charset val="134"/>
      </rPr>
      <t>(1-2</t>
    </r>
    <r>
      <rPr>
        <sz val="11"/>
        <color theme="1"/>
        <rFont val="宋体"/>
        <family val="3"/>
        <charset val="134"/>
      </rPr>
      <t>×左右</t>
    </r>
    <r>
      <rPr>
        <sz val="11"/>
        <color theme="1"/>
        <rFont val="Tahoma"/>
        <family val="2"/>
        <charset val="134"/>
      </rPr>
      <t>2)</t>
    </r>
    <r>
      <rPr>
        <sz val="11"/>
        <color theme="1"/>
        <rFont val="宋体"/>
        <family val="3"/>
        <charset val="134"/>
      </rPr>
      <t>×</t>
    </r>
    <r>
      <rPr>
        <sz val="11"/>
        <color theme="1"/>
        <rFont val="Tahoma"/>
        <family val="2"/>
        <charset val="134"/>
      </rPr>
      <t>a</t>
    </r>
    <r>
      <rPr>
        <sz val="11"/>
        <color theme="1"/>
        <rFont val="宋体"/>
        <family val="3"/>
        <charset val="134"/>
      </rPr>
      <t>；现在是也是这样，有点反解的意味：若将上一版即第二版中的</t>
    </r>
    <r>
      <rPr>
        <sz val="11"/>
        <color theme="1"/>
        <rFont val="Tahoma"/>
        <family val="2"/>
        <charset val="134"/>
      </rPr>
      <t>a</t>
    </r>
    <r>
      <rPr>
        <sz val="11"/>
        <color theme="1"/>
        <rFont val="宋体"/>
        <family val="3"/>
        <charset val="134"/>
      </rPr>
      <t>乘以</t>
    </r>
    <r>
      <rPr>
        <sz val="11"/>
        <color theme="1"/>
        <rFont val="Tahoma"/>
        <family val="2"/>
        <charset val="134"/>
      </rPr>
      <t>(1-2</t>
    </r>
    <r>
      <rPr>
        <sz val="11"/>
        <color theme="1"/>
        <rFont val="宋体"/>
        <family val="3"/>
        <charset val="134"/>
      </rPr>
      <t>×左右</t>
    </r>
    <r>
      <rPr>
        <sz val="11"/>
        <color theme="1"/>
        <rFont val="Tahoma"/>
        <family val="2"/>
        <charset val="134"/>
      </rPr>
      <t>2)</t>
    </r>
    <r>
      <rPr>
        <sz val="11"/>
        <color theme="1"/>
        <rFont val="宋体"/>
        <family val="3"/>
        <charset val="134"/>
      </rPr>
      <t>，并代入方程，那么若要使的方程输出结果在跟以前一样，则</t>
    </r>
    <r>
      <rPr>
        <sz val="11"/>
        <color theme="1"/>
        <rFont val="Tahoma"/>
        <family val="2"/>
        <charset val="134"/>
      </rPr>
      <t>a</t>
    </r>
    <r>
      <rPr>
        <sz val="11"/>
        <color theme="1"/>
        <rFont val="宋体"/>
        <family val="3"/>
        <charset val="134"/>
      </rPr>
      <t>的含义会因此变为正对对方的自己坐标系下的风力。所以我们将其乘以等效于</t>
    </r>
    <r>
      <rPr>
        <sz val="11"/>
        <color theme="1"/>
        <rFont val="Tahoma"/>
        <family val="2"/>
        <charset val="134"/>
      </rPr>
      <t>(1-2</t>
    </r>
    <r>
      <rPr>
        <sz val="11"/>
        <color theme="1"/>
        <rFont val="宋体"/>
        <family val="3"/>
        <charset val="134"/>
      </rPr>
      <t>×左右</t>
    </r>
    <r>
      <rPr>
        <sz val="11"/>
        <color theme="1"/>
        <rFont val="Tahoma"/>
        <family val="2"/>
        <charset val="134"/>
      </rPr>
      <t>2)</t>
    </r>
    <r>
      <rPr>
        <sz val="11"/>
        <color theme="1"/>
        <rFont val="宋体"/>
        <family val="3"/>
        <charset val="134"/>
      </rPr>
      <t>的</t>
    </r>
    <r>
      <rPr>
        <sz val="11"/>
        <color theme="1"/>
        <rFont val="Tahoma"/>
        <family val="2"/>
        <charset val="134"/>
      </rPr>
      <t>F15)</t>
    </r>
    <r>
      <rPr>
        <sz val="11"/>
        <color theme="1"/>
        <rFont val="宋体"/>
        <family val="3"/>
        <charset val="134"/>
      </rPr>
      <t>。</t>
    </r>
    <phoneticPr fontId="1" type="noConversion"/>
  </si>
  <si>
    <r>
      <t>atan</t>
    </r>
    <r>
      <rPr>
        <sz val="11"/>
        <color theme="1"/>
        <rFont val="宋体"/>
        <family val="3"/>
        <charset val="134"/>
      </rPr>
      <t>∈</t>
    </r>
    <r>
      <rPr>
        <sz val="11"/>
        <color theme="1"/>
        <rFont val="Tahoma"/>
        <family val="2"/>
        <charset val="134"/>
      </rPr>
      <t>(-180°</t>
    </r>
    <r>
      <rPr>
        <sz val="11"/>
        <color theme="1"/>
        <rFont val="宋体"/>
        <family val="3"/>
        <charset val="134"/>
      </rPr>
      <t>，</t>
    </r>
    <r>
      <rPr>
        <sz val="11"/>
        <color theme="1"/>
        <rFont val="Tahoma"/>
        <family val="2"/>
        <charset val="134"/>
      </rPr>
      <t>180°]</t>
    </r>
    <phoneticPr fontId="1" type="noConversion"/>
  </si>
  <si>
    <t>推荐角度or原角度</t>
    <phoneticPr fontId="1" type="noConversion"/>
  </si>
  <si>
    <t>取小于90°</t>
    <phoneticPr fontId="1" type="noConversion"/>
  </si>
  <si>
    <r>
      <t>1-</t>
    </r>
    <r>
      <rPr>
        <sz val="11"/>
        <color rgb="FF0070C0"/>
        <rFont val="宋体"/>
        <family val="3"/>
        <charset val="134"/>
      </rPr>
      <t>原角度；</t>
    </r>
    <r>
      <rPr>
        <sz val="11"/>
        <color rgb="FF0070C0"/>
        <rFont val="Tahoma"/>
        <family val="2"/>
        <charset val="134"/>
      </rPr>
      <t>0-</t>
    </r>
    <r>
      <rPr>
        <sz val="11"/>
        <color rgb="FF0070C0"/>
        <rFont val="宋体"/>
        <family val="3"/>
        <charset val="134"/>
      </rPr>
      <t>推荐角</t>
    </r>
    <phoneticPr fontId="1" type="noConversion"/>
  </si>
  <si>
    <t>65°</t>
    <phoneticPr fontId="1" type="noConversion"/>
  </si>
  <si>
    <t>115°</t>
    <phoneticPr fontId="1" type="noConversion"/>
  </si>
  <si>
    <t>高抛</t>
    <phoneticPr fontId="1" type="noConversion"/>
  </si>
  <si>
    <t>反高抛</t>
    <phoneticPr fontId="1" type="noConversion"/>
  </si>
  <si>
    <t>该版重做了推荐角功能，在第二版的时候就需要修正的。利用易语言“第十一版——自己坐标系”的推荐角逻辑：E16是为了将atan∈(-180°，180°]变成atan∈(-90°，270°]的弹弹堂的自己的坐标系的刻度盘范围，以与易语言中的对应；这里的(x,y)=(F8*F15,F9)已经是自己坐标系下的了，所得的角度也将是自己坐标系下的，因而可以直接和自己坐标系下的r即角度α比较；并添加了一些特定角和特定力。</t>
    <phoneticPr fontId="1" type="noConversion"/>
  </si>
  <si>
    <r>
      <rPr>
        <sz val="11"/>
        <color theme="1"/>
        <rFont val="宋体"/>
        <family val="3"/>
        <charset val="134"/>
      </rPr>
      <t>其实这里的风力</t>
    </r>
    <r>
      <rPr>
        <sz val="11"/>
        <color theme="1"/>
        <rFont val="Tahoma"/>
        <family val="2"/>
        <charset val="134"/>
      </rPr>
      <t>a</t>
    </r>
    <r>
      <rPr>
        <sz val="11"/>
        <color theme="1"/>
        <rFont val="宋体"/>
        <family val="3"/>
        <charset val="134"/>
      </rPr>
      <t>就等于</t>
    </r>
    <r>
      <rPr>
        <sz val="11"/>
        <color theme="1"/>
        <rFont val="Tahoma"/>
        <family val="2"/>
        <charset val="134"/>
      </rPr>
      <t>F10/10</t>
    </r>
    <r>
      <rPr>
        <sz val="11"/>
        <color theme="1"/>
        <rFont val="宋体"/>
        <family val="3"/>
        <charset val="134"/>
      </rPr>
      <t>，</t>
    </r>
    <r>
      <rPr>
        <sz val="11"/>
        <color theme="1"/>
        <rFont val="Tahoma"/>
        <family val="2"/>
        <charset val="134"/>
      </rPr>
      <t>F10/10</t>
    </r>
    <r>
      <rPr>
        <sz val="11"/>
        <color theme="1"/>
        <rFont val="宋体"/>
        <family val="3"/>
        <charset val="134"/>
      </rPr>
      <t>这个输入的东西是正的，风力</t>
    </r>
    <r>
      <rPr>
        <sz val="11"/>
        <color theme="1"/>
        <rFont val="Tahoma"/>
        <family val="2"/>
        <charset val="134"/>
      </rPr>
      <t>a</t>
    </r>
    <r>
      <rPr>
        <sz val="11"/>
        <color theme="1"/>
        <rFont val="宋体"/>
        <family val="3"/>
        <charset val="134"/>
      </rPr>
      <t>就是正的，代入</t>
    </r>
    <r>
      <rPr>
        <sz val="11"/>
        <color theme="1"/>
        <rFont val="Tahoma"/>
        <family val="2"/>
        <charset val="134"/>
      </rPr>
      <t>A11</t>
    </r>
    <r>
      <rPr>
        <sz val="11"/>
        <color theme="1"/>
        <rFont val="宋体"/>
        <family val="3"/>
        <charset val="134"/>
      </rPr>
      <t>的风力值就是</t>
    </r>
    <r>
      <rPr>
        <sz val="11"/>
        <color theme="1"/>
        <rFont val="Tahoma"/>
        <family val="2"/>
        <charset val="134"/>
      </rPr>
      <t>E10</t>
    </r>
    <r>
      <rPr>
        <sz val="11"/>
        <color theme="1"/>
        <rFont val="宋体"/>
        <family val="3"/>
        <charset val="134"/>
      </rPr>
      <t>的风力</t>
    </r>
    <r>
      <rPr>
        <sz val="11"/>
        <color theme="1"/>
        <rFont val="Tahoma"/>
        <family val="2"/>
        <charset val="134"/>
      </rPr>
      <t>a</t>
    </r>
    <r>
      <rPr>
        <sz val="11"/>
        <color theme="1"/>
        <rFont val="宋体"/>
        <family val="3"/>
        <charset val="134"/>
      </rPr>
      <t>，即输入的风力，即正对对方坐标系下的风力。</t>
    </r>
    <phoneticPr fontId="1" type="noConversion"/>
  </si>
  <si>
    <r>
      <rPr>
        <sz val="11"/>
        <color theme="1"/>
        <rFont val="宋体"/>
        <family val="3"/>
        <charset val="134"/>
      </rPr>
      <t>代入</t>
    </r>
    <r>
      <rPr>
        <sz val="11"/>
        <color theme="1"/>
        <rFont val="Tahoma"/>
        <family val="2"/>
        <charset val="134"/>
      </rPr>
      <t>M</t>
    </r>
    <r>
      <rPr>
        <sz val="11"/>
        <color theme="1"/>
        <rFont val="宋体"/>
        <family val="3"/>
        <charset val="134"/>
      </rPr>
      <t>的距离，为</t>
    </r>
    <r>
      <rPr>
        <sz val="11"/>
        <color theme="1"/>
        <rFont val="Tahoma"/>
        <family val="2"/>
        <charset val="134"/>
      </rPr>
      <t>F15*F8/10</t>
    </r>
    <r>
      <rPr>
        <sz val="11"/>
        <color theme="1"/>
        <rFont val="宋体"/>
        <family val="3"/>
        <charset val="134"/>
      </rPr>
      <t>，即正对对方坐标系下的人工判断的距离，加上程序智能判断正对背对关系后的，大部分为正确的自己坐标系下的，整个体系相当于纯粹地依赖角度来衡量</t>
    </r>
    <r>
      <rPr>
        <sz val="11"/>
        <color theme="1"/>
        <rFont val="Tahoma"/>
        <family val="2"/>
        <charset val="134"/>
      </rPr>
      <t>x</t>
    </r>
    <r>
      <rPr>
        <sz val="11"/>
        <color theme="1"/>
        <rFont val="宋体"/>
        <family val="3"/>
        <charset val="134"/>
      </rPr>
      <t>和</t>
    </r>
    <r>
      <rPr>
        <sz val="11"/>
        <color theme="1"/>
        <rFont val="Tahoma"/>
        <family val="2"/>
        <charset val="134"/>
      </rPr>
      <t>a</t>
    </r>
    <r>
      <rPr>
        <sz val="11"/>
        <color theme="1"/>
        <rFont val="宋体"/>
        <family val="3"/>
        <charset val="134"/>
      </rPr>
      <t>在自己坐标系下的正负。</t>
    </r>
    <phoneticPr fontId="1" type="noConversion"/>
  </si>
  <si>
    <r>
      <rPr>
        <sz val="11"/>
        <color theme="1"/>
        <rFont val="宋体"/>
        <family val="3"/>
        <charset val="134"/>
      </rPr>
      <t>当角度</t>
    </r>
    <r>
      <rPr>
        <sz val="11"/>
        <color theme="1"/>
        <rFont val="Tahoma"/>
        <family val="2"/>
        <charset val="134"/>
      </rPr>
      <t>&gt;90°</t>
    </r>
    <r>
      <rPr>
        <sz val="11"/>
        <color theme="1"/>
        <rFont val="宋体"/>
        <family val="3"/>
        <charset val="134"/>
      </rPr>
      <t>时，大部分情况下为我方背对敌方，此时本不应该将风力</t>
    </r>
    <r>
      <rPr>
        <sz val="11"/>
        <color theme="1"/>
        <rFont val="Tahoma"/>
        <family val="2"/>
        <charset val="134"/>
      </rPr>
      <t>a</t>
    </r>
    <r>
      <rPr>
        <sz val="11"/>
        <color theme="1"/>
        <rFont val="宋体"/>
        <family val="3"/>
        <charset val="134"/>
      </rPr>
      <t>带入修正位移</t>
    </r>
    <r>
      <rPr>
        <sz val="11"/>
        <color theme="1"/>
        <rFont val="Tahoma"/>
        <family val="2"/>
        <charset val="134"/>
      </rPr>
      <t>x</t>
    </r>
    <r>
      <rPr>
        <sz val="11"/>
        <color theme="1"/>
        <rFont val="宋体"/>
        <family val="3"/>
        <charset val="134"/>
      </rPr>
      <t>，因其为正对对方坐标系下的，而该坐标系现在与自己的坐标系朝向相反，要带入</t>
    </r>
    <r>
      <rPr>
        <sz val="11"/>
        <color theme="1"/>
        <rFont val="Tahoma"/>
        <family val="2"/>
        <charset val="134"/>
      </rPr>
      <t>M</t>
    </r>
    <r>
      <rPr>
        <sz val="11"/>
        <color theme="1"/>
        <rFont val="宋体"/>
        <family val="3"/>
        <charset val="134"/>
      </rPr>
      <t>的话，风力</t>
    </r>
    <r>
      <rPr>
        <sz val="11"/>
        <color theme="1"/>
        <rFont val="Tahoma"/>
        <family val="2"/>
        <charset val="134"/>
      </rPr>
      <t>a</t>
    </r>
    <r>
      <rPr>
        <sz val="11"/>
        <color theme="1"/>
        <rFont val="宋体"/>
        <family val="3"/>
        <charset val="134"/>
      </rPr>
      <t>本该取负。但是，由于</t>
    </r>
    <r>
      <rPr>
        <sz val="11"/>
        <color theme="1"/>
        <rFont val="Tahoma"/>
        <family val="2"/>
        <charset val="134"/>
      </rPr>
      <t>M</t>
    </r>
    <r>
      <rPr>
        <sz val="11"/>
        <color theme="1"/>
        <rFont val="宋体"/>
        <family val="3"/>
        <charset val="134"/>
      </rPr>
      <t>所采用的角度，为</t>
    </r>
    <r>
      <rPr>
        <sz val="11"/>
        <color theme="1"/>
        <rFont val="Tahoma"/>
        <family val="2"/>
        <charset val="134"/>
      </rPr>
      <t>E11</t>
    </r>
    <r>
      <rPr>
        <sz val="11"/>
        <color theme="1"/>
        <rFont val="宋体"/>
        <family val="3"/>
        <charset val="134"/>
      </rPr>
      <t>，即</t>
    </r>
    <r>
      <rPr>
        <sz val="11"/>
        <color theme="1"/>
        <rFont val="Tahoma"/>
        <family val="2"/>
        <charset val="134"/>
      </rPr>
      <t>&lt;90°</t>
    </r>
    <r>
      <rPr>
        <sz val="11"/>
        <color theme="1"/>
        <rFont val="宋体"/>
        <family val="3"/>
        <charset val="134"/>
      </rPr>
      <t>的角度，因此相当于自己的坐标系从背对对方坐标系后再次</t>
    </r>
    <r>
      <rPr>
        <sz val="11"/>
        <color theme="1"/>
        <rFont val="Tahoma"/>
        <family val="2"/>
        <charset val="134"/>
      </rPr>
      <t>x</t>
    </r>
    <r>
      <rPr>
        <sz val="11"/>
        <color theme="1"/>
        <rFont val="宋体"/>
        <family val="3"/>
        <charset val="134"/>
      </rPr>
      <t>轴取反，变得正对对方坐标系，风力</t>
    </r>
    <r>
      <rPr>
        <sz val="11"/>
        <color theme="1"/>
        <rFont val="Tahoma"/>
        <family val="2"/>
        <charset val="134"/>
      </rPr>
      <t>a</t>
    </r>
    <r>
      <rPr>
        <sz val="11"/>
        <color theme="1"/>
        <rFont val="宋体"/>
        <family val="3"/>
        <charset val="134"/>
      </rPr>
      <t>就可以适用了；当角度</t>
    </r>
    <r>
      <rPr>
        <sz val="11"/>
        <color theme="1"/>
        <rFont val="Tahoma"/>
        <family val="2"/>
        <charset val="134"/>
      </rPr>
      <t>&lt;90°</t>
    </r>
    <r>
      <rPr>
        <sz val="11"/>
        <color theme="1"/>
        <rFont val="宋体"/>
        <family val="3"/>
        <charset val="134"/>
      </rPr>
      <t>时，大部分情况我方正对敌方，此时可以直接将风力</t>
    </r>
    <r>
      <rPr>
        <sz val="11"/>
        <color theme="1"/>
        <rFont val="Tahoma"/>
        <family val="2"/>
        <charset val="134"/>
      </rPr>
      <t>a</t>
    </r>
    <r>
      <rPr>
        <sz val="11"/>
        <color theme="1"/>
        <rFont val="宋体"/>
        <family val="3"/>
        <charset val="134"/>
      </rPr>
      <t>带入修正位移，并且由于</t>
    </r>
    <r>
      <rPr>
        <sz val="11"/>
        <color theme="1"/>
        <rFont val="Tahoma"/>
        <family val="2"/>
        <charset val="134"/>
      </rPr>
      <t>M</t>
    </r>
    <r>
      <rPr>
        <sz val="11"/>
        <color theme="1"/>
        <rFont val="宋体"/>
        <family val="3"/>
        <charset val="134"/>
      </rPr>
      <t>中采用的角度为</t>
    </r>
    <r>
      <rPr>
        <sz val="11"/>
        <color theme="1"/>
        <rFont val="Tahoma"/>
        <family val="2"/>
        <charset val="134"/>
      </rPr>
      <t>E11</t>
    </r>
    <r>
      <rPr>
        <sz val="11"/>
        <color theme="1"/>
        <rFont val="宋体"/>
        <family val="3"/>
        <charset val="134"/>
      </rPr>
      <t>，</t>
    </r>
    <r>
      <rPr>
        <sz val="11"/>
        <color theme="1"/>
        <rFont val="Tahoma"/>
        <family val="2"/>
        <charset val="134"/>
      </rPr>
      <t>&lt;90°</t>
    </r>
    <r>
      <rPr>
        <sz val="11"/>
        <color theme="1"/>
        <rFont val="宋体"/>
        <family val="3"/>
        <charset val="134"/>
      </rPr>
      <t>，因此和谐。</t>
    </r>
    <phoneticPr fontId="1" type="noConversion"/>
  </si>
  <si>
    <r>
      <rPr>
        <sz val="11"/>
        <color theme="1"/>
        <rFont val="宋体"/>
        <family val="3"/>
        <charset val="134"/>
      </rPr>
      <t>修正位移</t>
    </r>
    <r>
      <rPr>
        <sz val="11"/>
        <color theme="1"/>
        <rFont val="Tahoma"/>
        <family val="2"/>
        <charset val="134"/>
      </rPr>
      <t>x</t>
    </r>
    <r>
      <rPr>
        <sz val="11"/>
        <color theme="1"/>
        <rFont val="宋体"/>
        <family val="3"/>
        <charset val="134"/>
      </rPr>
      <t>，采用的是所有量的原始模样，必须保证完全真实，之后再取绝对值，即</t>
    </r>
    <r>
      <rPr>
        <sz val="11"/>
        <color theme="1"/>
        <rFont val="Tahoma"/>
        <family val="2"/>
        <charset val="134"/>
      </rPr>
      <t>x&gt;0</t>
    </r>
    <r>
      <rPr>
        <sz val="11"/>
        <color theme="1"/>
        <rFont val="宋体"/>
        <family val="3"/>
        <charset val="134"/>
      </rPr>
      <t>，以适应</t>
    </r>
    <r>
      <rPr>
        <sz val="11"/>
        <color theme="1"/>
        <rFont val="Tahoma"/>
        <family val="2"/>
        <charset val="134"/>
      </rPr>
      <t>M</t>
    </r>
    <r>
      <rPr>
        <sz val="11"/>
        <color theme="1"/>
        <rFont val="宋体"/>
        <family val="3"/>
        <charset val="134"/>
      </rPr>
      <t>所采用的</t>
    </r>
    <r>
      <rPr>
        <sz val="11"/>
        <color theme="1"/>
        <rFont val="Tahoma"/>
        <family val="2"/>
        <charset val="134"/>
      </rPr>
      <t>E11</t>
    </r>
    <r>
      <rPr>
        <sz val="11"/>
        <color theme="1"/>
        <rFont val="宋体"/>
        <family val="3"/>
        <charset val="134"/>
      </rPr>
      <t>这个恒</t>
    </r>
    <r>
      <rPr>
        <sz val="11"/>
        <color theme="1"/>
        <rFont val="Tahoma"/>
        <family val="2"/>
        <charset val="134"/>
      </rPr>
      <t>&lt;90°</t>
    </r>
    <r>
      <rPr>
        <sz val="11"/>
        <color theme="1"/>
        <rFont val="宋体"/>
        <family val="3"/>
        <charset val="134"/>
      </rPr>
      <t>的角度。不过修正位移</t>
    </r>
    <r>
      <rPr>
        <sz val="11"/>
        <color theme="1"/>
        <rFont val="Tahoma"/>
        <family val="2"/>
        <charset val="134"/>
      </rPr>
      <t>x</t>
    </r>
    <r>
      <rPr>
        <sz val="11"/>
        <color theme="1"/>
        <rFont val="宋体"/>
        <family val="3"/>
        <charset val="134"/>
      </rPr>
      <t>的是否绝对真实，也依赖于</t>
    </r>
    <r>
      <rPr>
        <sz val="11"/>
        <color theme="1"/>
        <rFont val="Tahoma"/>
        <family val="2"/>
        <charset val="134"/>
      </rPr>
      <t>F15*F8/10</t>
    </r>
    <r>
      <rPr>
        <sz val="11"/>
        <color theme="1"/>
        <rFont val="宋体"/>
        <family val="3"/>
        <charset val="134"/>
      </rPr>
      <t>的智能化是否智能，不过即使</t>
    </r>
    <r>
      <rPr>
        <sz val="11"/>
        <color theme="1"/>
        <rFont val="Tahoma"/>
        <family val="2"/>
        <charset val="134"/>
      </rPr>
      <t>F15*F8/10</t>
    </r>
    <r>
      <rPr>
        <sz val="11"/>
        <color theme="1"/>
        <rFont val="宋体"/>
        <family val="3"/>
        <charset val="134"/>
      </rPr>
      <t>不智能，修正位移</t>
    </r>
    <r>
      <rPr>
        <sz val="11"/>
        <color theme="1"/>
        <rFont val="Tahoma"/>
        <family val="2"/>
        <charset val="134"/>
      </rPr>
      <t>x</t>
    </r>
    <r>
      <rPr>
        <sz val="11"/>
        <color theme="1"/>
        <rFont val="宋体"/>
        <family val="3"/>
        <charset val="134"/>
      </rPr>
      <t>也是不智能下的真实情况。</t>
    </r>
    <phoneticPr fontId="1" type="noConversion"/>
  </si>
  <si>
    <t>关于A4和B4，仅仅是绘图用的，并且由于A4和B4调用了E11，而x和y调用了A4和B4，所以我们绘图用的角度是E11。因此，绘图绘制的是，F15*F8/10为真实的敌方在自己坐标系下的值时，将炮击断面(沿着y轴翻折后←当F15*F8/10真实，且F15对应的角度大于90度时)放置于图中第一象限后的曲线。</t>
    <phoneticPr fontId="1" type="noConversion"/>
  </si>
  <si>
    <r>
      <rPr>
        <sz val="11"/>
        <color theme="1"/>
        <rFont val="宋体"/>
        <family val="3"/>
        <charset val="134"/>
      </rPr>
      <t>防无解功能是针对当时只能单个数据单个数据地按照一定的先后次序，顺序输入</t>
    </r>
    <r>
      <rPr>
        <sz val="11"/>
        <color theme="1"/>
        <rFont val="Tahoma"/>
        <family val="2"/>
        <charset val="134"/>
      </rPr>
      <t>4</t>
    </r>
    <r>
      <rPr>
        <sz val="11"/>
        <color theme="1"/>
        <rFont val="宋体"/>
        <family val="3"/>
        <charset val="134"/>
      </rPr>
      <t>个数据，此时可能会导致其中两个数据相互矛盾，以至于数据出错</t>
    </r>
    <r>
      <rPr>
        <sz val="11"/>
        <color theme="1"/>
        <rFont val="Tahoma"/>
        <family val="2"/>
        <charset val="134"/>
      </rPr>
      <t>/</t>
    </r>
    <r>
      <rPr>
        <sz val="11"/>
        <color theme="1"/>
        <rFont val="宋体"/>
        <family val="3"/>
        <charset val="134"/>
      </rPr>
      <t>溢出，比如角度是</t>
    </r>
    <r>
      <rPr>
        <sz val="11"/>
        <color theme="1"/>
        <rFont val="Tahoma"/>
        <family val="2"/>
        <charset val="134"/>
      </rPr>
      <t>&lt;90</t>
    </r>
    <r>
      <rPr>
        <sz val="11"/>
        <color theme="1"/>
        <rFont val="宋体"/>
        <family val="3"/>
        <charset val="134"/>
      </rPr>
      <t>的但</t>
    </r>
    <r>
      <rPr>
        <sz val="11"/>
        <color theme="1"/>
        <rFont val="Tahoma"/>
        <family val="2"/>
        <charset val="134"/>
      </rPr>
      <t>x2-x1</t>
    </r>
    <r>
      <rPr>
        <sz val="11"/>
        <color theme="1"/>
        <rFont val="宋体"/>
        <family val="3"/>
        <charset val="134"/>
      </rPr>
      <t>却是负的；或者角度是</t>
    </r>
    <r>
      <rPr>
        <sz val="11"/>
        <color theme="1"/>
        <rFont val="Tahoma"/>
        <family val="2"/>
        <charset val="134"/>
      </rPr>
      <t>&gt;90</t>
    </r>
    <r>
      <rPr>
        <sz val="11"/>
        <color theme="1"/>
        <rFont val="宋体"/>
        <family val="3"/>
        <charset val="134"/>
      </rPr>
      <t>的但</t>
    </r>
    <r>
      <rPr>
        <sz val="11"/>
        <color theme="1"/>
        <rFont val="Tahoma"/>
        <family val="2"/>
        <charset val="134"/>
      </rPr>
      <t>x2-x1</t>
    </r>
    <r>
      <rPr>
        <sz val="11"/>
        <color theme="1"/>
        <rFont val="宋体"/>
        <family val="3"/>
        <charset val="134"/>
      </rPr>
      <t>是正的；</t>
    </r>
    <r>
      <rPr>
        <sz val="11"/>
        <color theme="1"/>
        <rFont val="Tahoma"/>
        <family val="2"/>
        <charset val="134"/>
      </rPr>
      <t>(</t>
    </r>
    <r>
      <rPr>
        <sz val="11"/>
        <color theme="1"/>
        <rFont val="宋体"/>
        <family val="3"/>
        <charset val="134"/>
      </rPr>
      <t>这些都对应着角度信息的及时更新是渐变的</t>
    </r>
    <r>
      <rPr>
        <sz val="11"/>
        <color theme="1"/>
        <rFont val="Tahoma"/>
        <family val="2"/>
        <charset val="134"/>
      </rPr>
      <t>(</t>
    </r>
    <r>
      <rPr>
        <sz val="11"/>
        <color theme="1"/>
        <rFont val="宋体"/>
        <family val="3"/>
        <charset val="134"/>
      </rPr>
      <t>对于页游辅助来说</t>
    </r>
    <r>
      <rPr>
        <sz val="11"/>
        <color theme="1"/>
        <rFont val="Tahoma"/>
        <family val="2"/>
        <charset val="134"/>
      </rPr>
      <t>)</t>
    </r>
    <r>
      <rPr>
        <sz val="11"/>
        <color theme="1"/>
        <rFont val="宋体"/>
        <family val="3"/>
        <charset val="134"/>
      </rPr>
      <t>，有个越过</t>
    </r>
    <r>
      <rPr>
        <sz val="11"/>
        <color theme="1"/>
        <rFont val="Tahoma"/>
        <family val="2"/>
        <charset val="134"/>
      </rPr>
      <t>90°</t>
    </r>
    <r>
      <rPr>
        <sz val="11"/>
        <color theme="1"/>
        <rFont val="宋体"/>
        <family val="3"/>
        <charset val="134"/>
      </rPr>
      <t>的过程，因而若在角度越过</t>
    </r>
    <r>
      <rPr>
        <sz val="11"/>
        <color theme="1"/>
        <rFont val="Tahoma"/>
        <family val="2"/>
        <charset val="134"/>
      </rPr>
      <t>90°</t>
    </r>
    <r>
      <rPr>
        <sz val="11"/>
        <color theme="1"/>
        <rFont val="宋体"/>
        <family val="3"/>
        <charset val="134"/>
      </rPr>
      <t>之前，改变自身朝向而使得自身</t>
    </r>
    <r>
      <rPr>
        <sz val="11"/>
        <color theme="1"/>
        <rFont val="Tahoma"/>
        <family val="2"/>
        <charset val="134"/>
      </rPr>
      <t>(x</t>
    </r>
    <r>
      <rPr>
        <sz val="11"/>
        <color theme="1"/>
        <rFont val="宋体"/>
        <family val="3"/>
        <charset val="134"/>
      </rPr>
      <t>轴</t>
    </r>
    <r>
      <rPr>
        <sz val="11"/>
        <color theme="1"/>
        <rFont val="Tahoma"/>
        <family val="2"/>
        <charset val="134"/>
      </rPr>
      <t>)</t>
    </r>
    <r>
      <rPr>
        <sz val="11"/>
        <color theme="1"/>
        <rFont val="宋体"/>
        <family val="3"/>
        <charset val="134"/>
      </rPr>
      <t>不再正对对方时，就会无解</t>
    </r>
    <r>
      <rPr>
        <sz val="11"/>
        <color theme="1"/>
        <rFont val="Tahoma"/>
        <family val="2"/>
        <charset val="134"/>
      </rPr>
      <t>)</t>
    </r>
    <r>
      <rPr>
        <sz val="11"/>
        <color theme="1"/>
        <rFont val="宋体"/>
        <family val="3"/>
        <charset val="134"/>
      </rPr>
      <t>它们的物理图景本身就是不可能打中的</t>
    </r>
    <r>
      <rPr>
        <sz val="11"/>
        <color theme="1"/>
        <rFont val="Tahoma"/>
        <family val="2"/>
        <charset val="134"/>
      </rPr>
      <t>/</t>
    </r>
    <r>
      <rPr>
        <sz val="11"/>
        <color theme="1"/>
        <rFont val="宋体"/>
        <family val="3"/>
        <charset val="134"/>
      </rPr>
      <t>无解的。当然，也有可能是事先把角度调得越过</t>
    </r>
    <r>
      <rPr>
        <sz val="11"/>
        <color theme="1"/>
        <rFont val="Tahoma"/>
        <family val="2"/>
        <charset val="134"/>
      </rPr>
      <t>90°</t>
    </r>
    <r>
      <rPr>
        <sz val="11"/>
        <color theme="1"/>
        <rFont val="宋体"/>
        <family val="3"/>
        <charset val="134"/>
      </rPr>
      <t>，然后再调整</t>
    </r>
    <r>
      <rPr>
        <sz val="11"/>
        <color theme="1"/>
        <rFont val="Tahoma"/>
        <family val="2"/>
        <charset val="134"/>
      </rPr>
      <t>x=x2-x1</t>
    </r>
    <r>
      <rPr>
        <sz val="11"/>
        <color theme="1"/>
        <rFont val="宋体"/>
        <family val="3"/>
        <charset val="134"/>
      </rPr>
      <t>的正负，这仍然会造成无解。</t>
    </r>
    <phoneticPr fontId="1" type="noConversion"/>
  </si>
  <si>
    <r>
      <rPr>
        <sz val="11"/>
        <color theme="1"/>
        <rFont val="宋体"/>
        <family val="3"/>
        <charset val="134"/>
      </rPr>
      <t>但这样一来，想</t>
    </r>
    <r>
      <rPr>
        <sz val="11"/>
        <color theme="1"/>
        <rFont val="Tahoma"/>
        <family val="2"/>
        <charset val="134"/>
      </rPr>
      <t>90</t>
    </r>
    <r>
      <rPr>
        <sz val="11"/>
        <color theme="1"/>
        <rFont val="宋体"/>
        <family val="3"/>
        <charset val="134"/>
      </rPr>
      <t>多度下，正向顺风攻击敌方的想法会受到限制。不过应只有这一点。——这是因为所有大于</t>
    </r>
    <r>
      <rPr>
        <sz val="11"/>
        <color theme="1"/>
        <rFont val="Tahoma"/>
        <family val="2"/>
        <charset val="134"/>
      </rPr>
      <t>90°</t>
    </r>
    <r>
      <rPr>
        <sz val="11"/>
        <color theme="1"/>
        <rFont val="宋体"/>
        <family val="3"/>
        <charset val="134"/>
      </rPr>
      <t>的行动会被均认为为反抛。</t>
    </r>
    <phoneticPr fontId="1" type="noConversion"/>
  </si>
  <si>
    <r>
      <t>g</t>
    </r>
    <r>
      <rPr>
        <sz val="11"/>
        <color theme="1"/>
        <rFont val="宋体"/>
        <family val="3"/>
        <charset val="134"/>
      </rPr>
      <t>、</t>
    </r>
    <r>
      <rPr>
        <sz val="11"/>
        <color theme="1"/>
        <rFont val="Tahoma"/>
        <family val="2"/>
        <charset val="134"/>
      </rPr>
      <t>k</t>
    </r>
    <r>
      <rPr>
        <sz val="11"/>
        <color theme="1"/>
        <rFont val="宋体"/>
        <family val="3"/>
        <charset val="134"/>
      </rPr>
      <t>自带转换系数，不需要另设</t>
    </r>
    <phoneticPr fontId="1" type="noConversion"/>
  </si>
  <si>
    <t>算出来的速度到力度，有转换系数</t>
    <phoneticPr fontId="1" type="noConversion"/>
  </si>
  <si>
    <t>识别到的风力到真风力，有转换系数</t>
    <phoneticPr fontId="1" type="noConversion"/>
  </si>
  <si>
    <t>一个绝对量：相对位移(x,y)</t>
    <phoneticPr fontId="1" type="noConversion"/>
  </si>
  <si>
    <t>坡度采用情况</t>
    <phoneticPr fontId="1" type="noConversion"/>
  </si>
  <si>
    <t>坡度(精确值)</t>
    <phoneticPr fontId="1" type="noConversion"/>
  </si>
  <si>
    <t>请输入当前最低角</t>
    <phoneticPr fontId="1" type="noConversion"/>
  </si>
  <si>
    <t>所带武器平地最低角</t>
    <phoneticPr fontId="1" type="noConversion"/>
  </si>
  <si>
    <t>未采用</t>
    <phoneticPr fontId="1" type="noConversion"/>
  </si>
  <si>
    <t>平地出手点坐标</t>
    <phoneticPr fontId="1" type="noConversion"/>
  </si>
  <si>
    <t>平地出手点方向</t>
    <phoneticPr fontId="1" type="noConversion"/>
  </si>
  <si>
    <t>力度</t>
    <phoneticPr fontId="1" type="noConversion"/>
  </si>
  <si>
    <r>
      <t xml:space="preserve"> </t>
    </r>
    <r>
      <rPr>
        <sz val="11"/>
        <color theme="1"/>
        <rFont val="宋体"/>
        <family val="3"/>
        <charset val="134"/>
      </rPr>
      <t>综上，背对时（输入的</t>
    </r>
    <r>
      <rPr>
        <sz val="11"/>
        <color theme="1"/>
        <rFont val="Tahoma"/>
        <family val="2"/>
        <charset val="134"/>
      </rPr>
      <t>F8&lt;0</t>
    </r>
    <r>
      <rPr>
        <sz val="11"/>
        <color theme="1"/>
        <rFont val="宋体"/>
        <family val="3"/>
        <charset val="134"/>
      </rPr>
      <t>时），当真实角度</t>
    </r>
    <r>
      <rPr>
        <sz val="11"/>
        <color theme="1"/>
        <rFont val="Tahoma"/>
        <family val="2"/>
        <charset val="134"/>
      </rPr>
      <t>&lt;90</t>
    </r>
    <r>
      <rPr>
        <sz val="11"/>
        <color theme="1"/>
        <rFont val="宋体"/>
        <family val="3"/>
        <charset val="134"/>
      </rPr>
      <t>°时，将就角度保持不变的话，则应该阻止风力和距离的取反，此时将会是正常的小角度反抛的图景</t>
    </r>
    <r>
      <rPr>
        <sz val="11"/>
        <color theme="1"/>
        <rFont val="Tahoma"/>
        <family val="2"/>
        <charset val="134"/>
      </rPr>
      <t>(</t>
    </r>
    <r>
      <rPr>
        <sz val="11"/>
        <color theme="1"/>
        <rFont val="宋体"/>
        <family val="3"/>
        <charset val="134"/>
      </rPr>
      <t>若输入的风力</t>
    </r>
    <r>
      <rPr>
        <sz val="11"/>
        <color theme="1"/>
        <rFont val="Tahoma"/>
        <family val="2"/>
        <charset val="134"/>
      </rPr>
      <t>&lt;0)</t>
    </r>
    <r>
      <rPr>
        <sz val="11"/>
        <color theme="1"/>
        <rFont val="宋体"/>
        <family val="3"/>
        <charset val="134"/>
      </rPr>
      <t>；正对时</t>
    </r>
    <r>
      <rPr>
        <sz val="11"/>
        <color theme="1"/>
        <rFont val="Tahoma"/>
        <family val="2"/>
        <charset val="134"/>
      </rPr>
      <t>(</t>
    </r>
    <r>
      <rPr>
        <sz val="11"/>
        <color theme="1"/>
        <rFont val="宋体"/>
        <family val="3"/>
        <charset val="134"/>
      </rPr>
      <t>输入的</t>
    </r>
    <r>
      <rPr>
        <sz val="11"/>
        <color theme="1"/>
        <rFont val="Tahoma"/>
        <family val="2"/>
        <charset val="134"/>
      </rPr>
      <t>x&gt;0</t>
    </r>
    <r>
      <rPr>
        <sz val="11"/>
        <color theme="1"/>
        <rFont val="宋体"/>
        <family val="3"/>
        <charset val="134"/>
      </rPr>
      <t>时</t>
    </r>
    <r>
      <rPr>
        <sz val="11"/>
        <color theme="1"/>
        <rFont val="Tahoma"/>
        <family val="2"/>
        <charset val="134"/>
      </rPr>
      <t>)</t>
    </r>
    <r>
      <rPr>
        <sz val="11"/>
        <color theme="1"/>
        <rFont val="宋体"/>
        <family val="3"/>
        <charset val="134"/>
      </rPr>
      <t>，当真实角度</t>
    </r>
    <r>
      <rPr>
        <sz val="11"/>
        <color theme="1"/>
        <rFont val="Tahoma"/>
        <family val="2"/>
        <charset val="134"/>
      </rPr>
      <t>&gt;90</t>
    </r>
    <r>
      <rPr>
        <sz val="11"/>
        <color theme="1"/>
        <rFont val="宋体"/>
        <family val="3"/>
        <charset val="134"/>
      </rPr>
      <t>°时，角度取反了但风力和距离却不变</t>
    </r>
    <r>
      <rPr>
        <sz val="11"/>
        <color theme="1"/>
        <rFont val="Tahoma"/>
        <family val="2"/>
        <charset val="134"/>
      </rPr>
      <t>(</t>
    </r>
    <r>
      <rPr>
        <sz val="11"/>
        <color theme="1"/>
        <rFont val="宋体"/>
        <family val="3"/>
        <charset val="134"/>
      </rPr>
      <t>若风力为正</t>
    </r>
    <r>
      <rPr>
        <sz val="11"/>
        <color theme="1"/>
        <rFont val="Tahoma"/>
        <family val="2"/>
        <charset val="134"/>
      </rPr>
      <t>)</t>
    </r>
    <r>
      <rPr>
        <sz val="11"/>
        <color theme="1"/>
        <rFont val="宋体"/>
        <family val="3"/>
        <charset val="134"/>
      </rPr>
      <t>，若将就风力和距离不变，而使得取反的角度回来保持原角度不变，则图景仍然保留大角度正抛</t>
    </r>
    <r>
      <rPr>
        <sz val="11"/>
        <color theme="1"/>
        <rFont val="Tahoma"/>
        <family val="2"/>
        <charset val="134"/>
      </rPr>
      <t>(</t>
    </r>
    <r>
      <rPr>
        <sz val="11"/>
        <color theme="1"/>
        <rFont val="宋体"/>
        <family val="3"/>
        <charset val="134"/>
      </rPr>
      <t>若输入的风力</t>
    </r>
    <r>
      <rPr>
        <sz val="11"/>
        <color theme="1"/>
        <rFont val="Tahoma"/>
        <family val="2"/>
        <charset val="134"/>
      </rPr>
      <t>&gt;0)</t>
    </r>
    <r>
      <rPr>
        <sz val="11"/>
        <color theme="1"/>
        <rFont val="宋体"/>
        <family val="3"/>
        <charset val="134"/>
      </rPr>
      <t>。</t>
    </r>
    <phoneticPr fontId="1" type="noConversion"/>
  </si>
  <si>
    <r>
      <rPr>
        <sz val="11"/>
        <color theme="1"/>
        <rFont val="宋体"/>
        <family val="3"/>
        <charset val="134"/>
      </rPr>
      <t>当</t>
    </r>
    <r>
      <rPr>
        <sz val="11"/>
        <color theme="1"/>
        <rFont val="Tahoma"/>
        <family val="2"/>
        <charset val="134"/>
      </rPr>
      <t>F8</t>
    </r>
    <r>
      <rPr>
        <sz val="11"/>
        <color theme="1"/>
        <rFont val="宋体"/>
        <family val="3"/>
        <charset val="134"/>
      </rPr>
      <t>中给出了自己坐标系下的</t>
    </r>
    <r>
      <rPr>
        <sz val="11"/>
        <color theme="1"/>
        <rFont val="Tahoma"/>
        <family val="2"/>
        <charset val="134"/>
      </rPr>
      <t>x</t>
    </r>
    <r>
      <rPr>
        <sz val="11"/>
        <color theme="1"/>
        <rFont val="宋体"/>
        <family val="3"/>
        <charset val="134"/>
      </rPr>
      <t>值后</t>
    </r>
    <r>
      <rPr>
        <sz val="11"/>
        <color theme="1"/>
        <rFont val="Tahoma"/>
        <family val="2"/>
        <charset val="134"/>
      </rPr>
      <t>(</t>
    </r>
    <r>
      <rPr>
        <sz val="11"/>
        <color theme="1"/>
        <rFont val="宋体"/>
        <family val="3"/>
        <charset val="134"/>
      </rPr>
      <t>一定是真实的，因为是纯人工的，若不真实，是人工的责任</t>
    </r>
    <r>
      <rPr>
        <sz val="11"/>
        <color theme="1"/>
        <rFont val="Tahoma"/>
        <family val="2"/>
        <charset val="134"/>
      </rPr>
      <t>)</t>
    </r>
    <r>
      <rPr>
        <sz val="11"/>
        <color theme="1"/>
        <rFont val="宋体"/>
        <family val="3"/>
        <charset val="134"/>
      </rPr>
      <t>，若对方在我方后面，则风力</t>
    </r>
    <r>
      <rPr>
        <sz val="11"/>
        <color theme="1"/>
        <rFont val="Tahoma"/>
        <family val="2"/>
        <charset val="134"/>
      </rPr>
      <t>a</t>
    </r>
    <r>
      <rPr>
        <sz val="11"/>
        <color theme="1"/>
        <rFont val="宋体"/>
        <family val="3"/>
        <charset val="134"/>
      </rPr>
      <t>取输入的真实风力的负值；若对方在我方的前面，风力</t>
    </r>
    <r>
      <rPr>
        <sz val="11"/>
        <color theme="1"/>
        <rFont val="Tahoma"/>
        <family val="2"/>
        <charset val="134"/>
      </rPr>
      <t>a</t>
    </r>
    <r>
      <rPr>
        <sz val="11"/>
        <color theme="1"/>
        <rFont val="宋体"/>
        <family val="3"/>
        <charset val="134"/>
      </rPr>
      <t>取真实风力；即保证代入</t>
    </r>
    <r>
      <rPr>
        <sz val="11"/>
        <color theme="1"/>
        <rFont val="Tahoma"/>
        <family val="2"/>
        <charset val="134"/>
      </rPr>
      <t>M</t>
    </r>
    <r>
      <rPr>
        <sz val="11"/>
        <color theme="1"/>
        <rFont val="宋体"/>
        <family val="3"/>
        <charset val="134"/>
      </rPr>
      <t>的风力值永远是正对对方的坐标系下的量，这对应于修正位移</t>
    </r>
    <r>
      <rPr>
        <sz val="11"/>
        <color theme="1"/>
        <rFont val="Tahoma"/>
        <family val="2"/>
        <charset val="134"/>
      </rPr>
      <t>x</t>
    </r>
    <r>
      <rPr>
        <sz val="11"/>
        <color theme="1"/>
        <rFont val="宋体"/>
        <family val="3"/>
        <charset val="134"/>
      </rPr>
      <t>也总是正值，即正对对方的坐标系下的量——当风力</t>
    </r>
    <r>
      <rPr>
        <sz val="11"/>
        <color theme="1"/>
        <rFont val="Tahoma"/>
        <family val="2"/>
        <charset val="134"/>
      </rPr>
      <t>a</t>
    </r>
    <r>
      <rPr>
        <sz val="11"/>
        <color theme="1"/>
        <rFont val="宋体"/>
        <family val="3"/>
        <charset val="134"/>
      </rPr>
      <t>跟着本来是负的修正位移</t>
    </r>
    <r>
      <rPr>
        <sz val="11"/>
        <color theme="1"/>
        <rFont val="Tahoma"/>
        <family val="2"/>
        <charset val="134"/>
      </rPr>
      <t>x</t>
    </r>
    <r>
      <rPr>
        <sz val="11"/>
        <color theme="1"/>
        <rFont val="宋体"/>
        <family val="3"/>
        <charset val="134"/>
      </rPr>
      <t>的取正，也变号后，带入两个与相对于自己的坐标系下的风力和距离相反的物理量，而此时带入的角度又是</t>
    </r>
    <r>
      <rPr>
        <sz val="11"/>
        <color theme="1"/>
        <rFont val="Tahoma"/>
        <family val="2"/>
        <charset val="134"/>
      </rPr>
      <t>E11</t>
    </r>
    <r>
      <rPr>
        <sz val="11"/>
        <color theme="1"/>
        <rFont val="宋体"/>
        <family val="3"/>
        <charset val="134"/>
      </rPr>
      <t>这个将真实值变得</t>
    </r>
    <r>
      <rPr>
        <sz val="11"/>
        <color theme="1"/>
        <rFont val="Tahoma"/>
        <family val="2"/>
        <charset val="134"/>
      </rPr>
      <t>&lt;90°</t>
    </r>
    <r>
      <rPr>
        <sz val="11"/>
        <color theme="1"/>
        <rFont val="宋体"/>
        <family val="3"/>
        <charset val="134"/>
      </rPr>
      <t>的</t>
    </r>
    <r>
      <rPr>
        <sz val="11"/>
        <color theme="1"/>
        <rFont val="Tahoma"/>
        <family val="2"/>
        <charset val="134"/>
      </rPr>
      <t>(</t>
    </r>
    <r>
      <rPr>
        <sz val="11"/>
        <color theme="1"/>
        <rFont val="宋体"/>
        <family val="3"/>
        <charset val="134"/>
      </rPr>
      <t>这里会有点问题：背对时，只有当真实角度</t>
    </r>
    <r>
      <rPr>
        <sz val="11"/>
        <color theme="1"/>
        <rFont val="Tahoma"/>
        <family val="2"/>
        <charset val="134"/>
      </rPr>
      <t>&gt;90°</t>
    </r>
    <r>
      <rPr>
        <sz val="11"/>
        <color theme="1"/>
        <rFont val="宋体"/>
        <family val="3"/>
        <charset val="134"/>
      </rPr>
      <t>时，所得的虚拟正对对方的自己坐标系，才是等效于原坐标系的；否则将是风力和距离取反，而角度不变，仍为</t>
    </r>
    <r>
      <rPr>
        <sz val="11"/>
        <color theme="1"/>
        <rFont val="Tahoma"/>
        <family val="2"/>
        <charset val="134"/>
      </rPr>
      <t>&lt;90°</t>
    </r>
    <r>
      <rPr>
        <sz val="11"/>
        <color theme="1"/>
        <rFont val="宋体"/>
        <family val="3"/>
        <charset val="134"/>
      </rPr>
      <t>的错误情况，本来真实情况是想反抛的</t>
    </r>
    <r>
      <rPr>
        <sz val="11"/>
        <color theme="1"/>
        <rFont val="Tahoma"/>
        <family val="2"/>
        <charset val="134"/>
      </rPr>
      <t>(</t>
    </r>
    <r>
      <rPr>
        <sz val="11"/>
        <color theme="1"/>
        <rFont val="宋体"/>
        <family val="3"/>
        <charset val="134"/>
      </rPr>
      <t>若风力为负</t>
    </r>
    <r>
      <rPr>
        <sz val="11"/>
        <color theme="1"/>
        <rFont val="Tahoma"/>
        <family val="2"/>
        <charset val="134"/>
      </rPr>
      <t>)</t>
    </r>
    <r>
      <rPr>
        <sz val="11"/>
        <color theme="1"/>
        <rFont val="宋体"/>
        <family val="3"/>
        <charset val="134"/>
      </rPr>
      <t>，结果变成风力和距离取反后</t>
    </r>
    <r>
      <rPr>
        <sz val="11"/>
        <color theme="1"/>
        <rFont val="Tahoma"/>
        <family val="2"/>
        <charset val="134"/>
      </rPr>
      <t>(</t>
    </r>
    <r>
      <rPr>
        <sz val="11"/>
        <color theme="1"/>
        <rFont val="宋体"/>
        <family val="3"/>
        <charset val="134"/>
      </rPr>
      <t>角度不变</t>
    </r>
    <r>
      <rPr>
        <sz val="11"/>
        <color theme="1"/>
        <rFont val="Tahoma"/>
        <family val="2"/>
        <charset val="134"/>
      </rPr>
      <t>)</t>
    </r>
    <r>
      <rPr>
        <sz val="11"/>
        <color theme="1"/>
        <rFont val="宋体"/>
        <family val="3"/>
        <charset val="134"/>
      </rPr>
      <t>的正抛了——此时如果要将就角度保持不变的话，则应该阻止风力和距离的取反，此时将会是正常的小角度反抛的图景，人物朝着右边</t>
    </r>
    <r>
      <rPr>
        <sz val="11"/>
        <color theme="1"/>
        <rFont val="Tahoma"/>
        <family val="2"/>
        <charset val="134"/>
      </rPr>
      <t>(</t>
    </r>
    <r>
      <rPr>
        <sz val="11"/>
        <color theme="1"/>
        <rFont val="宋体"/>
        <family val="3"/>
        <charset val="134"/>
      </rPr>
      <t>前提是输入的风力是负值，若输入的风力是正值，则该打不到还是打不到</t>
    </r>
    <r>
      <rPr>
        <sz val="11"/>
        <color theme="1"/>
        <rFont val="Tahoma"/>
        <family val="2"/>
        <charset val="134"/>
      </rPr>
      <t>)</t>
    </r>
    <r>
      <rPr>
        <sz val="11"/>
        <color theme="1"/>
        <rFont val="宋体"/>
        <family val="3"/>
        <charset val="134"/>
      </rPr>
      <t>；若将就风力和距离保持取反的话，角度得取大于</t>
    </r>
    <r>
      <rPr>
        <sz val="11"/>
        <color theme="1"/>
        <rFont val="Tahoma"/>
        <family val="2"/>
        <charset val="134"/>
      </rPr>
      <t>90°</t>
    </r>
    <r>
      <rPr>
        <sz val="11"/>
        <color theme="1"/>
        <rFont val="宋体"/>
        <family val="3"/>
        <charset val="134"/>
      </rPr>
      <t>，即从一个朝着右边小角度反抛的图景变成朝着右边大角度正抛的图景；同样，正对时，当真实角度</t>
    </r>
    <r>
      <rPr>
        <sz val="11"/>
        <color theme="1"/>
        <rFont val="Tahoma"/>
        <family val="2"/>
        <charset val="134"/>
      </rPr>
      <t>&gt;90°</t>
    </r>
    <r>
      <rPr>
        <sz val="11"/>
        <color theme="1"/>
        <rFont val="宋体"/>
        <family val="3"/>
        <charset val="134"/>
      </rPr>
      <t>时，角度取反了但风力和距离却不变</t>
    </r>
    <r>
      <rPr>
        <sz val="11"/>
        <color theme="1"/>
        <rFont val="Tahoma"/>
        <family val="2"/>
        <charset val="134"/>
      </rPr>
      <t>(</t>
    </r>
    <r>
      <rPr>
        <sz val="11"/>
        <color theme="1"/>
        <rFont val="宋体"/>
        <family val="3"/>
        <charset val="134"/>
      </rPr>
      <t>若风力为正</t>
    </r>
    <r>
      <rPr>
        <sz val="11"/>
        <color theme="1"/>
        <rFont val="Tahoma"/>
        <family val="2"/>
        <charset val="134"/>
      </rPr>
      <t>)</t>
    </r>
    <r>
      <rPr>
        <sz val="11"/>
        <color theme="1"/>
        <rFont val="宋体"/>
        <family val="3"/>
        <charset val="134"/>
      </rPr>
      <t>，此时若将就角度保持取反，则应将风力和距离取反，之后整个图景从大角度正抛变成小角度反抛，人物朝着右边</t>
    </r>
    <r>
      <rPr>
        <sz val="11"/>
        <color theme="1"/>
        <rFont val="Tahoma"/>
        <family val="2"/>
        <charset val="134"/>
      </rPr>
      <t>(</t>
    </r>
    <r>
      <rPr>
        <sz val="11"/>
        <color theme="1"/>
        <rFont val="宋体"/>
        <family val="3"/>
        <charset val="134"/>
      </rPr>
      <t>前提是风力是正的，否则该打不到还是打不到</t>
    </r>
    <r>
      <rPr>
        <sz val="11"/>
        <color theme="1"/>
        <rFont val="Tahoma"/>
        <family val="2"/>
        <charset val="134"/>
      </rPr>
      <t>)</t>
    </r>
    <r>
      <rPr>
        <sz val="11"/>
        <color theme="1"/>
        <rFont val="宋体"/>
        <family val="3"/>
        <charset val="134"/>
      </rPr>
      <t>，若将就风力和距离不变，而使得取反的角度回来保持原角度不变，则图景仍然保留大角度正抛</t>
    </r>
    <r>
      <rPr>
        <sz val="11"/>
        <color theme="1"/>
        <rFont val="Tahoma"/>
        <family val="2"/>
        <charset val="134"/>
      </rPr>
      <t>)</t>
    </r>
    <r>
      <rPr>
        <sz val="11"/>
        <color theme="1"/>
        <rFont val="宋体"/>
        <family val="3"/>
        <charset val="134"/>
      </rPr>
      <t>，因此三者共同构成一个等效的正对对方的虚拟的自己的坐标系。</t>
    </r>
    <phoneticPr fontId="1" type="noConversion"/>
  </si>
  <si>
    <r>
      <rPr>
        <sz val="11"/>
        <color rgb="FFFF0000"/>
        <rFont val="宋体"/>
        <family val="3"/>
        <charset val="134"/>
      </rPr>
      <t>输出值</t>
    </r>
    <r>
      <rPr>
        <sz val="11"/>
        <color rgb="FFFF0000"/>
        <rFont val="Tahoma"/>
        <family val="2"/>
        <charset val="134"/>
      </rPr>
      <t>v0</t>
    </r>
    <phoneticPr fontId="1" type="noConversion"/>
  </si>
  <si>
    <t>角度α</t>
    <phoneticPr fontId="1" type="noConversion"/>
  </si>
  <si>
    <r>
      <rPr>
        <sz val="11"/>
        <color theme="9" tint="-0.499984740745262"/>
        <rFont val="宋体"/>
        <family val="3"/>
        <charset val="134"/>
      </rPr>
      <t>风力</t>
    </r>
    <r>
      <rPr>
        <sz val="11"/>
        <color theme="9" tint="-0.499984740745262"/>
        <rFont val="Tahoma"/>
        <family val="2"/>
        <charset val="134"/>
      </rPr>
      <t>a</t>
    </r>
    <phoneticPr fontId="1" type="noConversion"/>
  </si>
  <si>
    <t>反解目标</t>
    <phoneticPr fontId="1" type="noConversion"/>
  </si>
  <si>
    <r>
      <rPr>
        <sz val="11"/>
        <color rgb="FFFF0000"/>
        <rFont val="宋体"/>
        <family val="3"/>
        <charset val="134"/>
      </rPr>
      <t>目标值</t>
    </r>
    <r>
      <rPr>
        <sz val="11"/>
        <color rgb="FFFF0000"/>
        <rFont val="Tahoma"/>
        <family val="2"/>
        <charset val="134"/>
      </rPr>
      <t>M</t>
    </r>
    <phoneticPr fontId="1" type="noConversion"/>
  </si>
  <si>
    <t>相对位移y</t>
    <phoneticPr fontId="1" type="noConversion"/>
  </si>
  <si>
    <t>相对位移x</t>
    <phoneticPr fontId="1" type="noConversion"/>
  </si>
  <si>
    <t>实际数据的Simplify</t>
    <phoneticPr fontId="1" type="noConversion"/>
  </si>
  <si>
    <r>
      <rPr>
        <sz val="11"/>
        <color rgb="FF00B050"/>
        <rFont val="宋体"/>
        <family val="3"/>
        <charset val="134"/>
      </rPr>
      <t>新原点</t>
    </r>
    <r>
      <rPr>
        <sz val="11"/>
        <color rgb="FF00B050"/>
        <rFont val="Tahoma"/>
        <family val="2"/>
        <charset val="134"/>
      </rPr>
      <t>y0</t>
    </r>
    <phoneticPr fontId="1" type="noConversion"/>
  </si>
  <si>
    <t>新原点x0</t>
    <phoneticPr fontId="1" type="noConversion"/>
  </si>
  <si>
    <t>考虑r程度</t>
    <phoneticPr fontId="1" type="noConversion"/>
  </si>
  <si>
    <r>
      <t>(sin</t>
    </r>
    <r>
      <rPr>
        <sz val="11"/>
        <color theme="1"/>
        <rFont val="宋体"/>
        <family val="3"/>
        <charset val="134"/>
      </rPr>
      <t>用于进一步削弱指数部分在低角度部分数值</t>
    </r>
    <r>
      <rPr>
        <sz val="11"/>
        <color theme="1"/>
        <rFont val="Tahoma"/>
        <family val="2"/>
        <charset val="134"/>
      </rPr>
      <t>(</t>
    </r>
    <r>
      <rPr>
        <sz val="11"/>
        <color theme="1"/>
        <rFont val="宋体"/>
        <family val="3"/>
        <charset val="134"/>
      </rPr>
      <t>而保留高角度数值</t>
    </r>
    <r>
      <rPr>
        <sz val="11"/>
        <color theme="1"/>
        <rFont val="Tahoma"/>
        <family val="2"/>
        <charset val="134"/>
      </rPr>
      <t>)</t>
    </r>
    <r>
      <rPr>
        <sz val="11"/>
        <color theme="1"/>
        <rFont val="宋体"/>
        <family val="3"/>
        <charset val="134"/>
      </rPr>
      <t>，进而增大负指数总体在低角度部分的幅值，更快地达到低角度系数趋近于</t>
    </r>
    <r>
      <rPr>
        <sz val="11"/>
        <color theme="1"/>
        <rFont val="Tahoma"/>
        <family val="2"/>
        <charset val="134"/>
      </rPr>
      <t>1</t>
    </r>
    <r>
      <rPr>
        <sz val="11"/>
        <color theme="1"/>
        <rFont val="宋体"/>
        <family val="3"/>
        <charset val="134"/>
      </rPr>
      <t>的要求；</t>
    </r>
    <r>
      <rPr>
        <sz val="11"/>
        <color theme="1"/>
        <rFont val="Tahoma"/>
        <family val="2"/>
        <charset val="134"/>
      </rPr>
      <t>tan</t>
    </r>
    <r>
      <rPr>
        <sz val="11"/>
        <color theme="1"/>
        <rFont val="宋体"/>
        <family val="3"/>
        <charset val="134"/>
      </rPr>
      <t>用于进一步</t>
    </r>
    <r>
      <rPr>
        <sz val="11"/>
        <color theme="1"/>
        <rFont val="Tahoma"/>
        <family val="2"/>
        <charset val="134"/>
      </rPr>
      <t>enhance</t>
    </r>
    <r>
      <rPr>
        <sz val="11"/>
        <color theme="1"/>
        <rFont val="宋体"/>
        <family val="3"/>
        <charset val="134"/>
      </rPr>
      <t>增强指数部分的高角度部分</t>
    </r>
    <r>
      <rPr>
        <sz val="11"/>
        <color theme="1"/>
        <rFont val="Tahoma"/>
        <family val="2"/>
        <charset val="134"/>
      </rPr>
      <t>(</t>
    </r>
    <r>
      <rPr>
        <sz val="11"/>
        <color theme="1"/>
        <rFont val="宋体"/>
        <family val="3"/>
        <charset val="134"/>
      </rPr>
      <t>而不影响低角度极限为</t>
    </r>
    <r>
      <rPr>
        <sz val="11"/>
        <color theme="1"/>
        <rFont val="Tahoma"/>
        <family val="2"/>
        <charset val="134"/>
      </rPr>
      <t>0</t>
    </r>
    <r>
      <rPr>
        <sz val="11"/>
        <color theme="1"/>
        <rFont val="宋体"/>
        <family val="3"/>
        <charset val="134"/>
      </rPr>
      <t>，虽</t>
    </r>
    <r>
      <rPr>
        <sz val="11"/>
        <color theme="1"/>
        <rFont val="Tahoma"/>
        <family val="2"/>
        <charset val="134"/>
      </rPr>
      <t>tan</t>
    </r>
    <r>
      <rPr>
        <sz val="11"/>
        <color theme="1"/>
        <rFont val="宋体"/>
        <family val="3"/>
        <charset val="134"/>
      </rPr>
      <t>的低角度极限也为</t>
    </r>
    <r>
      <rPr>
        <sz val="11"/>
        <color theme="1"/>
        <rFont val="Tahoma"/>
        <family val="2"/>
        <charset val="134"/>
      </rPr>
      <t>0</t>
    </r>
    <r>
      <rPr>
        <sz val="11"/>
        <color theme="1"/>
        <rFont val="宋体"/>
        <family val="3"/>
        <charset val="134"/>
      </rPr>
      <t>，但比</t>
    </r>
    <r>
      <rPr>
        <sz val="11"/>
        <color theme="1"/>
        <rFont val="Tahoma"/>
        <family val="2"/>
        <charset val="134"/>
      </rPr>
      <t>sin</t>
    </r>
    <r>
      <rPr>
        <sz val="11"/>
        <color theme="1"/>
        <rFont val="宋体"/>
        <family val="3"/>
        <charset val="134"/>
      </rPr>
      <t>大</t>
    </r>
    <r>
      <rPr>
        <sz val="11"/>
        <color theme="1"/>
        <rFont val="Tahoma"/>
        <family val="2"/>
        <charset val="134"/>
      </rPr>
      <t>)</t>
    </r>
    <r>
      <rPr>
        <sz val="11"/>
        <color theme="1"/>
        <rFont val="宋体"/>
        <family val="3"/>
        <charset val="134"/>
      </rPr>
      <t>，进而削弱出手半径对高角度抛射的影响因子，更快地达到此时系数趋近于</t>
    </r>
    <r>
      <rPr>
        <sz val="11"/>
        <color theme="1"/>
        <rFont val="Tahoma"/>
        <family val="2"/>
        <charset val="134"/>
      </rPr>
      <t>0</t>
    </r>
    <r>
      <rPr>
        <sz val="11"/>
        <color theme="1"/>
        <rFont val="宋体"/>
        <family val="3"/>
        <charset val="134"/>
      </rPr>
      <t>的要求；从而实现两极分化的图景</t>
    </r>
    <r>
      <rPr>
        <sz val="11"/>
        <color theme="1"/>
        <rFont val="Tahoma"/>
        <family val="2"/>
        <charset val="134"/>
      </rPr>
      <t>)</t>
    </r>
    <phoneticPr fontId="1" type="noConversion"/>
  </si>
  <si>
    <t>角度因子2</t>
    <phoneticPr fontId="1" type="noConversion"/>
  </si>
  <si>
    <r>
      <rPr>
        <sz val="11"/>
        <color rgb="FF007635"/>
        <rFont val="宋体"/>
        <family val="3"/>
        <charset val="134"/>
      </rPr>
      <t>修正位移</t>
    </r>
    <r>
      <rPr>
        <sz val="11"/>
        <color rgb="FF007635"/>
        <rFont val="Tahoma"/>
        <family val="2"/>
        <charset val="134"/>
      </rPr>
      <t>y</t>
    </r>
    <phoneticPr fontId="1" type="noConversion"/>
  </si>
  <si>
    <r>
      <rPr>
        <sz val="11"/>
        <color rgb="FF007635"/>
        <rFont val="宋体"/>
        <family val="3"/>
        <charset val="134"/>
      </rPr>
      <t>修正位移</t>
    </r>
    <r>
      <rPr>
        <sz val="11"/>
        <color rgb="FF007635"/>
        <rFont val="Tahoma"/>
        <family val="2"/>
        <charset val="134"/>
      </rPr>
      <t>x</t>
    </r>
    <phoneticPr fontId="1" type="noConversion"/>
  </si>
  <si>
    <r>
      <t>(</t>
    </r>
    <r>
      <rPr>
        <sz val="11"/>
        <color theme="1"/>
        <rFont val="宋体"/>
        <family val="3"/>
        <charset val="134"/>
      </rPr>
      <t>用于纪念，未采用；之后我把</t>
    </r>
    <r>
      <rPr>
        <sz val="11"/>
        <color theme="1"/>
        <rFont val="Tahoma"/>
        <family val="2"/>
        <charset val="134"/>
      </rPr>
      <t>cos</t>
    </r>
    <r>
      <rPr>
        <sz val="11"/>
        <color theme="1"/>
        <rFont val="宋体"/>
        <family val="3"/>
        <charset val="134"/>
      </rPr>
      <t>改为了负指数形式，它们均是自变量→</t>
    </r>
    <r>
      <rPr>
        <sz val="11"/>
        <color theme="1"/>
        <rFont val="Tahoma"/>
        <family val="2"/>
        <charset val="134"/>
      </rPr>
      <t>0</t>
    </r>
    <r>
      <rPr>
        <sz val="11"/>
        <color theme="1"/>
        <rFont val="宋体"/>
        <family val="3"/>
        <charset val="134"/>
      </rPr>
      <t>时函数值趋近于</t>
    </r>
    <r>
      <rPr>
        <sz val="11"/>
        <color theme="1"/>
        <rFont val="Tahoma"/>
        <family val="2"/>
        <charset val="134"/>
      </rPr>
      <t>1</t>
    </r>
    <r>
      <rPr>
        <sz val="11"/>
        <color theme="1"/>
        <rFont val="宋体"/>
        <family val="3"/>
        <charset val="134"/>
      </rPr>
      <t>，自变量趋近于某值时函数值→</t>
    </r>
    <r>
      <rPr>
        <sz val="11"/>
        <color theme="1"/>
        <rFont val="Tahoma"/>
        <family val="2"/>
        <charset val="134"/>
      </rPr>
      <t>0</t>
    </r>
    <r>
      <rPr>
        <sz val="11"/>
        <color theme="1"/>
        <rFont val="宋体"/>
        <family val="3"/>
        <charset val="134"/>
      </rPr>
      <t>，该值对于</t>
    </r>
    <r>
      <rPr>
        <sz val="11"/>
        <color theme="1"/>
        <rFont val="Tahoma"/>
        <family val="2"/>
        <charset val="134"/>
      </rPr>
      <t>cos</t>
    </r>
    <r>
      <rPr>
        <sz val="11"/>
        <color theme="1"/>
        <rFont val="宋体"/>
        <family val="3"/>
        <charset val="134"/>
      </rPr>
      <t>来说是π</t>
    </r>
    <r>
      <rPr>
        <sz val="11"/>
        <color theme="1"/>
        <rFont val="Tahoma"/>
        <family val="2"/>
        <charset val="134"/>
      </rPr>
      <t>/2</t>
    </r>
    <r>
      <rPr>
        <sz val="11"/>
        <color theme="1"/>
        <rFont val="宋体"/>
        <family val="3"/>
        <charset val="134"/>
      </rPr>
      <t>，对于负指数来说，是无穷大；于是我们用</t>
    </r>
    <r>
      <rPr>
        <sz val="11"/>
        <color theme="1"/>
        <rFont val="Tahoma"/>
        <family val="2"/>
        <charset val="134"/>
      </rPr>
      <t>sintan</t>
    </r>
    <r>
      <rPr>
        <sz val="11"/>
        <color theme="1"/>
        <rFont val="宋体"/>
        <family val="3"/>
        <charset val="134"/>
      </rPr>
      <t>相乘的形式作为负指数的自变量</t>
    </r>
    <r>
      <rPr>
        <sz val="11"/>
        <color theme="1"/>
        <rFont val="Tahoma"/>
        <family val="2"/>
        <charset val="134"/>
      </rPr>
      <t>(</t>
    </r>
    <r>
      <rPr>
        <sz val="11"/>
        <color theme="1"/>
        <rFont val="宋体"/>
        <family val="3"/>
        <charset val="134"/>
      </rPr>
      <t>指数部分</t>
    </r>
    <r>
      <rPr>
        <sz val="11"/>
        <color theme="1"/>
        <rFont val="Tahoma"/>
        <family val="2"/>
        <charset val="134"/>
      </rPr>
      <t>)</t>
    </r>
    <r>
      <rPr>
        <sz val="11"/>
        <color theme="1"/>
        <rFont val="宋体"/>
        <family val="3"/>
        <charset val="134"/>
      </rPr>
      <t>，让负指数随着真正的自变量——角度的增加，而更快地趋近于</t>
    </r>
    <r>
      <rPr>
        <sz val="11"/>
        <color theme="1"/>
        <rFont val="Tahoma"/>
        <family val="2"/>
        <charset val="134"/>
      </rPr>
      <t>0</t>
    </r>
    <r>
      <rPr>
        <sz val="11"/>
        <color theme="1"/>
        <rFont val="宋体"/>
        <family val="3"/>
        <charset val="134"/>
      </rPr>
      <t>，即使得高角度时，出手半径的影响比原先低很多</t>
    </r>
    <r>
      <rPr>
        <sz val="11"/>
        <color theme="1"/>
        <rFont val="Tahoma"/>
        <family val="2"/>
        <charset val="134"/>
      </rPr>
      <t>)</t>
    </r>
    <phoneticPr fontId="1" type="noConversion"/>
  </si>
  <si>
    <t>角度因子1</t>
    <phoneticPr fontId="1" type="noConversion"/>
  </si>
  <si>
    <r>
      <t>(</t>
    </r>
    <r>
      <rPr>
        <sz val="11"/>
        <color theme="1"/>
        <rFont val="宋体"/>
        <family val="3"/>
        <charset val="134"/>
      </rPr>
      <t>像角度一样，距离越远、角度越高，出手半径得越小；距离越近、角度越低，出手半径得越大</t>
    </r>
    <r>
      <rPr>
        <sz val="11"/>
        <color theme="1"/>
        <rFont val="Tahoma"/>
        <family val="2"/>
        <charset val="134"/>
      </rPr>
      <t>)</t>
    </r>
    <phoneticPr fontId="1" type="noConversion"/>
  </si>
  <si>
    <t>Vx</t>
    <phoneticPr fontId="1" type="noConversion"/>
  </si>
  <si>
    <t>力度修正</t>
    <phoneticPr fontId="1" type="noConversion"/>
  </si>
  <si>
    <t>g</t>
    <phoneticPr fontId="1" type="noConversion"/>
  </si>
  <si>
    <t>k</t>
    <phoneticPr fontId="1" type="noConversion"/>
  </si>
  <si>
    <t>a修正系数</t>
    <phoneticPr fontId="1" type="noConversion"/>
  </si>
  <si>
    <t>出手半径r</t>
    <phoneticPr fontId="1" type="noConversion"/>
  </si>
  <si>
    <r>
      <rPr>
        <sz val="11"/>
        <color theme="1"/>
        <rFont val="宋体"/>
        <family val="3"/>
        <charset val="134"/>
      </rPr>
      <t>让角度更接近</t>
    </r>
    <r>
      <rPr>
        <sz val="11"/>
        <color theme="1"/>
        <rFont val="Tahoma"/>
        <family val="2"/>
        <charset val="134"/>
      </rPr>
      <t>90°</t>
    </r>
    <r>
      <rPr>
        <sz val="11"/>
        <color theme="1"/>
        <rFont val="宋体"/>
        <family val="3"/>
        <charset val="134"/>
      </rPr>
      <t>了些，力度更大了些。</t>
    </r>
    <phoneticPr fontId="1" type="noConversion"/>
  </si>
  <si>
    <r>
      <rPr>
        <sz val="11"/>
        <color theme="1"/>
        <rFont val="宋体"/>
        <family val="3"/>
        <charset val="134"/>
      </rPr>
      <t>所以风力修正系数</t>
    </r>
    <r>
      <rPr>
        <sz val="11"/>
        <color theme="1"/>
        <rFont val="Tahoma"/>
        <family val="2"/>
        <charset val="134"/>
      </rPr>
      <t>:|g|=1:28.6</t>
    </r>
    <phoneticPr fontId="1" type="noConversion"/>
  </si>
  <si>
    <r>
      <rPr>
        <sz val="11"/>
        <color theme="1"/>
        <rFont val="宋体"/>
        <family val="3"/>
        <charset val="134"/>
      </rPr>
      <t>所以风力修正系数</t>
    </r>
    <r>
      <rPr>
        <sz val="11"/>
        <color theme="1"/>
        <rFont val="Tahoma"/>
        <family val="2"/>
        <charset val="134"/>
      </rPr>
      <t>:|g|=1:28.6</t>
    </r>
    <phoneticPr fontId="1" type="noConversion"/>
  </si>
  <si>
    <t>最低/高角度，限制角，标记1</t>
    <phoneticPr fontId="1" type="noConversion"/>
  </si>
  <si>
    <t>最低/高角度，限制角，标记2</t>
    <phoneticPr fontId="1" type="noConversion"/>
  </si>
  <si>
    <t>如果运行不畅，请将sheet2，即该工作表，置于默认最前(点一下下方的该表头/该表的标题:不可更改v0的kv算法 (3))，之后保存退出</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</si>
</sst>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Tahoma"/>
      <family val="2"/>
      <charset val="134"/>
    </font>
    <font>
      <sz val="9"/>
      <name val="Tahoma"/>
      <family val="2"/>
      <charset val="134"/>
    </font>
    <font>
      <sz val="11"/>
      <color theme="1"/>
      <name val="宋体"/>
      <family val="3"/>
      <charset val="134"/>
    </font>
    <font>
      <sz val="11"/>
      <color theme="1"/>
      <name val="宋体"/>
      <family val="3"/>
      <charset val="134"/>
      <scheme val="minor"/>
    </font>
    <font>
      <sz val="11"/>
      <color theme="1"/>
      <name val="宋体"/>
      <charset val="134"/>
      <scheme val="minor"/>
    </font>
    <font>
      <sz val="11"/>
      <color rgb="FFFF0000"/>
      <name val="宋体"/>
      <family val="3"/>
      <charset val="134"/>
    </font>
    <font>
      <sz val="11"/>
      <color rgb="FFFF0000"/>
      <name val="Tahoma"/>
      <family val="2"/>
      <charset val="134"/>
    </font>
    <font>
      <sz val="11"/>
      <color rgb="FF7030A0"/>
      <name val="宋体"/>
      <family val="3"/>
      <charset val="134"/>
    </font>
    <font>
      <sz val="11"/>
      <color rgb="FF7030A0"/>
      <name val="Tahoma"/>
      <family val="2"/>
      <charset val="134"/>
    </font>
    <font>
      <sz val="11"/>
      <color rgb="FF00B050"/>
      <name val="Tahoma"/>
      <family val="2"/>
      <charset val="134"/>
    </font>
    <font>
      <sz val="11"/>
      <color theme="9" tint="-0.499984740745262"/>
      <name val="Tahoma"/>
      <family val="2"/>
      <charset val="134"/>
    </font>
    <font>
      <sz val="11"/>
      <color rgb="FF00B050"/>
      <name val="宋体"/>
      <family val="3"/>
      <charset val="134"/>
    </font>
    <font>
      <sz val="11"/>
      <color theme="9" tint="-0.499984740745262"/>
      <name val="宋体"/>
      <family val="3"/>
      <charset val="134"/>
    </font>
    <font>
      <sz val="11"/>
      <color theme="5"/>
      <name val="Tahoma"/>
      <family val="2"/>
      <charset val="134"/>
    </font>
    <font>
      <sz val="11"/>
      <color theme="6"/>
      <name val="宋体"/>
      <family val="3"/>
      <charset val="134"/>
    </font>
    <font>
      <sz val="11"/>
      <color rgb="FF0070C0"/>
      <name val="Tahoma"/>
      <family val="2"/>
      <charset val="134"/>
    </font>
    <font>
      <sz val="11"/>
      <color rgb="FF007635"/>
      <name val="Tahoma"/>
      <family val="2"/>
      <charset val="134"/>
    </font>
    <font>
      <sz val="11"/>
      <color rgb="FF007635"/>
      <name val="宋体"/>
      <family val="3"/>
      <charset val="134"/>
    </font>
    <font>
      <sz val="11"/>
      <color rgb="FF0070C0"/>
      <name val="宋体"/>
      <family val="3"/>
      <charset val="134"/>
    </font>
    <font>
      <sz val="11"/>
      <name val="Tahoma"/>
      <family val="2"/>
      <charset val="134"/>
    </font>
    <font>
      <sz val="11"/>
      <name val="宋体"/>
      <family val="3"/>
      <charset val="134"/>
    </font>
    <font>
      <sz val="11"/>
      <name val="Tahoma"/>
      <family val="2"/>
    </font>
  </fonts>
  <fills count="2">
    <fill>
      <patternFill patternType="none"/>
    </fill>
    <fill>
      <patternFill patternType="gray125"/>
    </fill>
  </fills>
  <borders count="1">
    <border>
      <left/>
      <right/>
      <top/>
      <bottom/>
      <diagonal/>
    </border>
  </borders>
  <cellStyleXfs count="3">
    <xf numFmtId="0" fontId="0" fillId="0" borderId="0"/>
    <xf numFmtId="0" fontId="3" fillId="0" borderId="0">
      <alignment vertical="center"/>
    </xf>
    <xf numFmtId="0" fontId="4" fillId="0" borderId="0">
      <alignment vertical="center"/>
    </xf>
  </cellStyleXfs>
  <cellXfs count="36">
    <xf numFmtId="0" fontId="0" fillId="0" borderId="0" xfId="0"/>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xf numFmtId="0" fontId="11" fillId="0" borderId="0" xfId="0" applyFont="1"/>
    <xf numFmtId="0" fontId="12" fillId="0" borderId="0" xfId="0" applyFont="1"/>
    <xf numFmtId="0" fontId="10" fillId="0" borderId="0" xfId="0" applyFont="1" applyAlignment="1">
      <alignment horizontal="center"/>
    </xf>
    <xf numFmtId="0" fontId="12" fillId="0" borderId="0" xfId="0" applyFont="1" applyAlignment="1">
      <alignment horizontal="center"/>
    </xf>
    <xf numFmtId="0" fontId="13" fillId="0" borderId="0" xfId="0" applyFont="1"/>
    <xf numFmtId="0" fontId="5" fillId="0" borderId="0" xfId="0" applyFont="1" applyAlignment="1">
      <alignment horizontal="center"/>
    </xf>
    <xf numFmtId="0" fontId="14" fillId="0" borderId="0" xfId="0" applyFont="1"/>
    <xf numFmtId="0" fontId="15" fillId="0" borderId="0" xfId="0" applyFont="1"/>
    <xf numFmtId="0" fontId="16" fillId="0" borderId="0" xfId="0" applyFont="1"/>
    <xf numFmtId="0" fontId="19" fillId="0" borderId="0" xfId="0" applyFont="1"/>
    <xf numFmtId="0" fontId="2" fillId="0" borderId="0" xfId="0" applyFont="1" applyAlignment="1">
      <alignment horizontal="left"/>
    </xf>
    <xf numFmtId="0" fontId="2" fillId="0" borderId="0" xfId="0" applyFont="1"/>
    <xf numFmtId="0" fontId="2" fillId="0" borderId="0" xfId="0" applyFont="1" applyAlignment="1">
      <alignment vertical="top" wrapText="1"/>
    </xf>
    <xf numFmtId="0" fontId="20" fillId="0" borderId="0" xfId="0" applyFont="1" applyAlignment="1">
      <alignment horizontal="center"/>
    </xf>
    <xf numFmtId="0" fontId="0" fillId="0" borderId="0" xfId="0" applyAlignment="1">
      <alignment horizontal="center"/>
    </xf>
    <xf numFmtId="0" fontId="2" fillId="0" borderId="0" xfId="0" applyFont="1" applyAlignment="1">
      <alignment horizontal="center"/>
    </xf>
    <xf numFmtId="0" fontId="0" fillId="0" borderId="0" xfId="0" applyAlignment="1">
      <alignment horizontal="center"/>
    </xf>
    <xf numFmtId="0" fontId="21" fillId="0" borderId="0" xfId="0" applyFont="1" applyAlignment="1"/>
    <xf numFmtId="0" fontId="5" fillId="0" borderId="0" xfId="0" applyFont="1" applyAlignment="1">
      <alignment horizontal="center"/>
    </xf>
    <xf numFmtId="0" fontId="0" fillId="0" borderId="0" xfId="0" applyAlignment="1">
      <alignment horizontal="center" vertical="top" wrapText="1"/>
    </xf>
    <xf numFmtId="0" fontId="2" fillId="0" borderId="0" xfId="0" applyFont="1" applyAlignment="1">
      <alignment horizontal="center" vertical="top" wrapText="1"/>
    </xf>
    <xf numFmtId="0" fontId="0" fillId="0" borderId="0" xfId="0" applyAlignment="1">
      <alignment horizontal="center"/>
    </xf>
    <xf numFmtId="0" fontId="2" fillId="0" borderId="0" xfId="0" applyFont="1" applyAlignment="1">
      <alignment horizontal="center"/>
    </xf>
    <xf numFmtId="0" fontId="5" fillId="0" borderId="0" xfId="0" applyFont="1" applyAlignment="1">
      <alignment horizontal="center"/>
    </xf>
    <xf numFmtId="0" fontId="11" fillId="0" borderId="0" xfId="0" applyFont="1" applyAlignment="1">
      <alignment horizontal="center"/>
    </xf>
    <xf numFmtId="0" fontId="9" fillId="0" borderId="0" xfId="0" applyFont="1" applyAlignment="1">
      <alignment horizontal="center"/>
    </xf>
    <xf numFmtId="0" fontId="18" fillId="0" borderId="0" xfId="0" applyFont="1" applyAlignment="1">
      <alignment horizontal="center"/>
    </xf>
    <xf numFmtId="0" fontId="15" fillId="0" borderId="0" xfId="0" applyFont="1" applyAlignment="1">
      <alignment horizontal="center"/>
    </xf>
    <xf numFmtId="0" fontId="0" fillId="0" borderId="0" xfId="0" applyAlignment="1"/>
    <xf numFmtId="0" fontId="7" fillId="0" borderId="0" xfId="0" applyFont="1" applyAlignment="1">
      <alignment horizontal="center" vertical="center" wrapText="1"/>
    </xf>
  </cellXfs>
  <cellStyles count="3">
    <cellStyle name="常规" xfId="0" builtinId="0"/>
    <cellStyle name="常规 2" xfId="1" xr:uid="{00000000-0005-0000-0000-000001000000}"/>
    <cellStyle name="常规 3" xfId="2" xr:uid="{00000000-0005-0000-0000-000002000000}"/>
  </cellStyles>
  <dxfs count="0"/>
  <tableStyles count="0" defaultTableStyle="TableStyleMedium9" defaultPivotStyle="PivotStyleLight16"/>
  <colors>
    <mruColors>
      <color rgb="FF0076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2198847222222224"/>
          <c:y val="6.4067361111112123E-2"/>
          <c:w val="0.74858792650919903"/>
          <c:h val="0.67995734908136451"/>
        </c:manualLayout>
      </c:layout>
      <c:scatterChart>
        <c:scatterStyle val="smoothMarker"/>
        <c:varyColors val="0"/>
        <c:ser>
          <c:idx val="0"/>
          <c:order val="0"/>
          <c:tx>
            <c:strRef>
              <c:f>'不可更改v0的kv算法 (2)'!$H$1</c:f>
              <c:strCache>
                <c:ptCount val="1"/>
                <c:pt idx="0">
                  <c:v>y</c:v>
                </c:pt>
              </c:strCache>
            </c:strRef>
          </c:tx>
          <c:marker>
            <c:symbol val="none"/>
          </c:marker>
          <c:xVal>
            <c:numRef>
              <c:f>'不可更改v0的kv算法 (2)'!$G$2:$G$53</c:f>
              <c:numCache>
                <c:formatCode>General</c:formatCode>
                <c:ptCount val="52"/>
                <c:pt idx="0">
                  <c:v>1.1402474233200206</c:v>
                </c:pt>
                <c:pt idx="1">
                  <c:v>2.2445845580043073</c:v>
                </c:pt>
                <c:pt idx="2">
                  <c:v>3.3141423417805167</c:v>
                </c:pt>
                <c:pt idx="3">
                  <c:v>4.3500160952818199</c:v>
                </c:pt>
                <c:pt idx="4">
                  <c:v>5.3532666437509127</c:v>
                </c:pt>
                <c:pt idx="5">
                  <c:v>6.3249214034177959</c:v>
                </c:pt>
                <c:pt idx="6">
                  <c:v>7.2659754336637485</c:v>
                </c:pt>
                <c:pt idx="7">
                  <c:v>8.1773924560491142</c:v>
                </c:pt>
                <c:pt idx="8">
                  <c:v>9.060105841248367</c:v>
                </c:pt>
                <c:pt idx="9">
                  <c:v>9.9150195649032469</c:v>
                </c:pt>
                <c:pt idx="10">
                  <c:v>10.743009133372839</c:v>
                </c:pt>
                <c:pt idx="11">
                  <c:v>11.544922480328552</c:v>
                </c:pt>
                <c:pt idx="12">
                  <c:v>12.32158083511232</c:v>
                </c:pt>
                <c:pt idx="13">
                  <c:v>13.073779563747198</c:v>
                </c:pt>
                <c:pt idx="14">
                  <c:v>13.802288983461683</c:v>
                </c:pt>
                <c:pt idx="15">
                  <c:v>14.507855151561859</c:v>
                </c:pt>
                <c:pt idx="16">
                  <c:v>15.191200629459276</c:v>
                </c:pt>
                <c:pt idx="17">
                  <c:v>15.85302522263698</c:v>
                </c:pt>
                <c:pt idx="18">
                  <c:v>16.494006697311473</c:v>
                </c:pt>
                <c:pt idx="19">
                  <c:v>17.114801474524548</c:v>
                </c:pt>
                <c:pt idx="20">
                  <c:v>17.7160453023758</c:v>
                </c:pt>
                <c:pt idx="21">
                  <c:v>18.298353907084234</c:v>
                </c:pt>
                <c:pt idx="22">
                  <c:v>18.862323623545702</c:v>
                </c:pt>
                <c:pt idx="23">
                  <c:v>19.408532006031979</c:v>
                </c:pt>
                <c:pt idx="24">
                  <c:v>19.937538419656764</c:v>
                </c:pt>
                <c:pt idx="25">
                  <c:v>20.449884613214479</c:v>
                </c:pt>
                <c:pt idx="26">
                  <c:v>20.946095273978347</c:v>
                </c:pt>
                <c:pt idx="27">
                  <c:v>21.426678565026023</c:v>
                </c:pt>
                <c:pt idx="28">
                  <c:v>21.892126645642982</c:v>
                </c:pt>
                <c:pt idx="29">
                  <c:v>22.342916175336637</c:v>
                </c:pt>
                <c:pt idx="30">
                  <c:v>22.779508801977325</c:v>
                </c:pt>
                <c:pt idx="31">
                  <c:v>23.202351634566075</c:v>
                </c:pt>
                <c:pt idx="32">
                  <c:v>23.611877701113297</c:v>
                </c:pt>
                <c:pt idx="33">
                  <c:v>24.008506392097278</c:v>
                </c:pt>
                <c:pt idx="34">
                  <c:v>24.392643889956723</c:v>
                </c:pt>
                <c:pt idx="35">
                  <c:v>24.764683585057035</c:v>
                </c:pt>
                <c:pt idx="36">
                  <c:v>25.125006478556415</c:v>
                </c:pt>
                <c:pt idx="37">
                  <c:v>25.473981572584393</c:v>
                </c:pt>
                <c:pt idx="38">
                  <c:v>25.81196624813219</c:v>
                </c:pt>
                <c:pt idx="39">
                  <c:v>26.139306631042135</c:v>
                </c:pt>
                <c:pt idx="40">
                  <c:v>26.456337946470747</c:v>
                </c:pt>
                <c:pt idx="41">
                  <c:v>26.763384862188584</c:v>
                </c:pt>
                <c:pt idx="42">
                  <c:v>27.060761821068425</c:v>
                </c:pt>
                <c:pt idx="43">
                  <c:v>27.348773363102239</c:v>
                </c:pt>
                <c:pt idx="44">
                  <c:v>27.627714437276772</c:v>
                </c:pt>
                <c:pt idx="45">
                  <c:v>27.897870703627053</c:v>
                </c:pt>
                <c:pt idx="46">
                  <c:v>28.159518825777234</c:v>
                </c:pt>
                <c:pt idx="47">
                  <c:v>28.412926754268351</c:v>
                </c:pt>
                <c:pt idx="48">
                  <c:v>28.658354000963048</c:v>
                </c:pt>
                <c:pt idx="49">
                  <c:v>28.896051904808445</c:v>
                </c:pt>
                <c:pt idx="50">
                  <c:v>29.126263889229129</c:v>
                </c:pt>
                <c:pt idx="51">
                  <c:v>29.349225711414089</c:v>
                </c:pt>
              </c:numCache>
            </c:numRef>
          </c:xVal>
          <c:yVal>
            <c:numRef>
              <c:f>'不可更改v0的kv算法 (2)'!$H$2:$H$53</c:f>
              <c:numCache>
                <c:formatCode>General</c:formatCode>
                <c:ptCount val="52"/>
                <c:pt idx="0">
                  <c:v>3.0167947731905738</c:v>
                </c:pt>
                <c:pt idx="1">
                  <c:v>5.7077926646069024</c:v>
                </c:pt>
                <c:pt idx="2">
                  <c:v>8.0832541316039439</c:v>
                </c:pt>
                <c:pt idx="3">
                  <c:v>10.153116494665248</c:v>
                </c:pt>
                <c:pt idx="4">
                  <c:v>11.927004114087204</c:v>
                </c:pt>
                <c:pt idx="5">
                  <c:v>13.414238246165333</c:v>
                </c:pt>
                <c:pt idx="6">
                  <c:v>14.623846588974885</c:v>
                </c:pt>
                <c:pt idx="7">
                  <c:v>15.564572527523026</c:v>
                </c:pt>
                <c:pt idx="8">
                  <c:v>16.244884087738669</c:v>
                </c:pt>
                <c:pt idx="9">
                  <c:v>16.672982608471159</c:v>
                </c:pt>
                <c:pt idx="10">
                  <c:v>16.856811140378085</c:v>
                </c:pt>
                <c:pt idx="11">
                  <c:v>16.804062580303025</c:v>
                </c:pt>
                <c:pt idx="12">
                  <c:v>16.522187549474225</c:v>
                </c:pt>
                <c:pt idx="13">
                  <c:v>16.018402023591904</c:v>
                </c:pt>
                <c:pt idx="14">
                  <c:v>15.299694722617758</c:v>
                </c:pt>
                <c:pt idx="15">
                  <c:v>14.37283426783506</c:v>
                </c:pt>
                <c:pt idx="16">
                  <c:v>13.244376113508139</c:v>
                </c:pt>
                <c:pt idx="17">
                  <c:v>11.920669260240771</c:v>
                </c:pt>
                <c:pt idx="18">
                  <c:v>10.407862756907093</c:v>
                </c:pt>
                <c:pt idx="19">
                  <c:v>8.7119119978152924</c:v>
                </c:pt>
                <c:pt idx="20">
                  <c:v>6.8385848215518195</c:v>
                </c:pt>
                <c:pt idx="21">
                  <c:v>4.7934674177519696</c:v>
                </c:pt>
                <c:pt idx="22">
                  <c:v>2.5819700478461129</c:v>
                </c:pt>
                <c:pt idx="23">
                  <c:v>0.20933258564068069</c:v>
                </c:pt>
                <c:pt idx="24">
                  <c:v>-2.3193701165938876</c:v>
                </c:pt>
                <c:pt idx="25">
                  <c:v>-4.9992230310303967</c:v>
                </c:pt>
                <c:pt idx="26">
                  <c:v>-7.825465920867174</c:v>
                </c:pt>
                <c:pt idx="27">
                  <c:v>-10.793488465429505</c:v>
                </c:pt>
                <c:pt idx="28">
                  <c:v>-13.898825538798462</c:v>
                </c:pt>
                <c:pt idx="29">
                  <c:v>-17.13715263713172</c:v>
                </c:pt>
                <c:pt idx="30">
                  <c:v>-20.504281449993726</c:v>
                </c:pt>
                <c:pt idx="31">
                  <c:v>-23.996155571160017</c:v>
                </c:pt>
                <c:pt idx="32">
                  <c:v>-27.608846344502467</c:v>
                </c:pt>
                <c:pt idx="33">
                  <c:v>-31.338548840702344</c:v>
                </c:pt>
                <c:pt idx="34">
                  <c:v>-35.181577960669927</c:v>
                </c:pt>
                <c:pt idx="35">
                  <c:v>-39.134364661681531</c:v>
                </c:pt>
                <c:pt idx="36">
                  <c:v>-43.193452302367206</c:v>
                </c:pt>
                <c:pt idx="37">
                  <c:v>-47.355493102808481</c:v>
                </c:pt>
                <c:pt idx="38">
                  <c:v>-51.617244716118961</c:v>
                </c:pt>
                <c:pt idx="39">
                  <c:v>-55.975566907997631</c:v>
                </c:pt>
                <c:pt idx="40">
                  <c:v>-60.427418340854871</c:v>
                </c:pt>
                <c:pt idx="41">
                  <c:v>-64.969853459216665</c:v>
                </c:pt>
                <c:pt idx="42">
                  <c:v>-69.600019473218623</c:v>
                </c:pt>
                <c:pt idx="43">
                  <c:v>-74.315153437099838</c:v>
                </c:pt>
                <c:pt idx="44">
                  <c:v>-79.1125794197049</c:v>
                </c:pt>
                <c:pt idx="45">
                  <c:v>-83.989705764096442</c:v>
                </c:pt>
                <c:pt idx="46">
                  <c:v>-88.944022433472441</c:v>
                </c:pt>
                <c:pt idx="47">
                  <c:v>-93.97309844066865</c:v>
                </c:pt>
                <c:pt idx="48">
                  <c:v>-99.074579358615665</c:v>
                </c:pt>
                <c:pt idx="49">
                  <c:v>-104.2461849091996</c:v>
                </c:pt>
                <c:pt idx="50">
                  <c:v>-109.48570662805838</c:v>
                </c:pt>
                <c:pt idx="51">
                  <c:v>-114.79100560292085</c:v>
                </c:pt>
              </c:numCache>
            </c:numRef>
          </c:yVal>
          <c:smooth val="1"/>
          <c:extLst>
            <c:ext xmlns:c16="http://schemas.microsoft.com/office/drawing/2014/chart" uri="{C3380CC4-5D6E-409C-BE32-E72D297353CC}">
              <c16:uniqueId val="{00000000-C771-452A-98C2-4B1C83545160}"/>
            </c:ext>
          </c:extLst>
        </c:ser>
        <c:dLbls>
          <c:showLegendKey val="0"/>
          <c:showVal val="0"/>
          <c:showCatName val="0"/>
          <c:showSerName val="0"/>
          <c:showPercent val="0"/>
          <c:showBubbleSize val="0"/>
        </c:dLbls>
        <c:axId val="84554112"/>
        <c:axId val="84555648"/>
      </c:scatterChart>
      <c:valAx>
        <c:axId val="84554112"/>
        <c:scaling>
          <c:orientation val="minMax"/>
          <c:max val="20"/>
          <c:min val="0"/>
        </c:scaling>
        <c:delete val="0"/>
        <c:axPos val="b"/>
        <c:numFmt formatCode="General" sourceLinked="1"/>
        <c:majorTickMark val="out"/>
        <c:minorTickMark val="none"/>
        <c:tickLblPos val="nextTo"/>
        <c:crossAx val="84555648"/>
        <c:crosses val="autoZero"/>
        <c:crossBetween val="midCat"/>
        <c:majorUnit val="1"/>
      </c:valAx>
      <c:valAx>
        <c:axId val="84555648"/>
        <c:scaling>
          <c:orientation val="minMax"/>
          <c:max val="20"/>
          <c:min val="0"/>
        </c:scaling>
        <c:delete val="0"/>
        <c:axPos val="l"/>
        <c:majorGridlines/>
        <c:numFmt formatCode="General" sourceLinked="1"/>
        <c:majorTickMark val="out"/>
        <c:minorTickMark val="none"/>
        <c:tickLblPos val="nextTo"/>
        <c:crossAx val="84554112"/>
        <c:crosses val="autoZero"/>
        <c:crossBetween val="midCat"/>
        <c:majorUnit val="1"/>
      </c:valAx>
      <c:spPr>
        <a:scene3d>
          <a:camera prst="orthographicFront"/>
          <a:lightRig rig="threePt" dir="t"/>
        </a:scene3d>
        <a:sp3d>
          <a:bevelB w="0" h="0"/>
        </a:sp3d>
      </c:spPr>
    </c:plotArea>
    <c:legend>
      <c:legendPos val="r"/>
      <c:overlay val="0"/>
    </c:legend>
    <c:plotVisOnly val="1"/>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2198847222222224"/>
          <c:y val="6.4067361111112123E-2"/>
          <c:w val="0.74858792650919959"/>
          <c:h val="0.67995734908136451"/>
        </c:manualLayout>
      </c:layout>
      <c:scatterChart>
        <c:scatterStyle val="smoothMarker"/>
        <c:varyColors val="0"/>
        <c:ser>
          <c:idx val="0"/>
          <c:order val="0"/>
          <c:tx>
            <c:strRef>
              <c:f>'不可更改v0的kv算法 (3)'!$H$1</c:f>
              <c:strCache>
                <c:ptCount val="1"/>
                <c:pt idx="0">
                  <c:v>y</c:v>
                </c:pt>
              </c:strCache>
            </c:strRef>
          </c:tx>
          <c:marker>
            <c:symbol val="none"/>
          </c:marker>
          <c:xVal>
            <c:numRef>
              <c:f>'不可更改v0的kv算法 (3)'!$G$2:$G$53</c:f>
              <c:numCache>
                <c:formatCode>General</c:formatCode>
                <c:ptCount val="52"/>
                <c:pt idx="0">
                  <c:v>0.14809746156013004</c:v>
                </c:pt>
                <c:pt idx="1">
                  <c:v>0.21889913279049011</c:v>
                </c:pt>
                <c:pt idx="2">
                  <c:v>0.21483932231944269</c:v>
                </c:pt>
                <c:pt idx="3">
                  <c:v>0.13827567407640018</c:v>
                </c:pt>
                <c:pt idx="4">
                  <c:v>-8.5084182748431658E-3</c:v>
                </c:pt>
                <c:pt idx="5">
                  <c:v>-0.22330147294138492</c:v>
                </c:pt>
                <c:pt idx="6">
                  <c:v>-0.50396165525069492</c:v>
                </c:pt>
                <c:pt idx="7">
                  <c:v>-0.848414584224642</c:v>
                </c:pt>
                <c:pt idx="8">
                  <c:v>-1.2546512082322216</c:v>
                </c:pt>
                <c:pt idx="9">
                  <c:v>-1.7207257475450533</c:v>
                </c:pt>
                <c:pt idx="10">
                  <c:v>-2.2447537016889072</c:v>
                </c:pt>
                <c:pt idx="11">
                  <c:v>-2.8249099195505742</c:v>
                </c:pt>
                <c:pt idx="12">
                  <c:v>-3.4594267302636226</c:v>
                </c:pt>
                <c:pt idx="13">
                  <c:v>-4.1465921329589648</c:v>
                </c:pt>
                <c:pt idx="14">
                  <c:v>-4.8847480435263471</c:v>
                </c:pt>
                <c:pt idx="15">
                  <c:v>-5.6722885965913719</c:v>
                </c:pt>
                <c:pt idx="16">
                  <c:v>-6.5076585009690078</c:v>
                </c:pt>
                <c:pt idx="17">
                  <c:v>-7.3893514469094583</c:v>
                </c:pt>
                <c:pt idx="18">
                  <c:v>-8.315908563505424</c:v>
                </c:pt>
                <c:pt idx="19">
                  <c:v>-9.285916924680798</c:v>
                </c:pt>
                <c:pt idx="20">
                  <c:v>-10.298008102230853</c:v>
                </c:pt>
                <c:pt idx="21">
                  <c:v>-11.350856764432216</c:v>
                </c:pt>
                <c:pt idx="22">
                  <c:v>-12.443179318787372</c:v>
                </c:pt>
                <c:pt idx="23">
                  <c:v>-13.573732597513747</c:v>
                </c:pt>
                <c:pt idx="24">
                  <c:v>-14.741312584431306</c:v>
                </c:pt>
                <c:pt idx="25">
                  <c:v>-15.944753181944762</c:v>
                </c:pt>
                <c:pt idx="26">
                  <c:v>-17.182925016857716</c:v>
                </c:pt>
                <c:pt idx="27">
                  <c:v>-18.454734283795851</c:v>
                </c:pt>
                <c:pt idx="28">
                  <c:v>-19.759121625054583</c:v>
                </c:pt>
                <c:pt idx="29">
                  <c:v>-21.095061045724314</c:v>
                </c:pt>
                <c:pt idx="30">
                  <c:v>-22.461558862981867</c:v>
                </c:pt>
                <c:pt idx="31">
                  <c:v>-23.857652688472498</c:v>
                </c:pt>
                <c:pt idx="32">
                  <c:v>-25.282410442740172</c:v>
                </c:pt>
                <c:pt idx="33">
                  <c:v>-26.734929400696629</c:v>
                </c:pt>
                <c:pt idx="34">
                  <c:v>-28.214335267152144</c:v>
                </c:pt>
                <c:pt idx="35">
                  <c:v>-29.719781281460726</c:v>
                </c:pt>
                <c:pt idx="36">
                  <c:v>-31.250447350363324</c:v>
                </c:pt>
                <c:pt idx="37">
                  <c:v>-32.805539208140644</c:v>
                </c:pt>
                <c:pt idx="38">
                  <c:v>-34.384287603215583</c:v>
                </c:pt>
                <c:pt idx="39">
                  <c:v>-35.985947510372498</c:v>
                </c:pt>
                <c:pt idx="40">
                  <c:v>-37.609797367786165</c:v>
                </c:pt>
                <c:pt idx="41">
                  <c:v>-39.255138338079526</c:v>
                </c:pt>
                <c:pt idx="42">
                  <c:v>-40.921293592653072</c:v>
                </c:pt>
                <c:pt idx="43">
                  <c:v>-42.607607618553239</c:v>
                </c:pt>
                <c:pt idx="44">
                  <c:v>-44.31344554716987</c:v>
                </c:pt>
                <c:pt idx="45">
                  <c:v>-46.038192504075262</c:v>
                </c:pt>
                <c:pt idx="46">
                  <c:v>-47.781252979339072</c:v>
                </c:pt>
                <c:pt idx="47">
                  <c:v>-49.542050217674003</c:v>
                </c:pt>
                <c:pt idx="48">
                  <c:v>-51.320025627788127</c:v>
                </c:pt>
                <c:pt idx="49">
                  <c:v>-53.114638210338434</c:v>
                </c:pt>
                <c:pt idx="50">
                  <c:v>-54.925364003900413</c:v>
                </c:pt>
                <c:pt idx="51">
                  <c:v>-56.751695548385634</c:v>
                </c:pt>
              </c:numCache>
            </c:numRef>
          </c:xVal>
          <c:yVal>
            <c:numRef>
              <c:f>'不可更改v0的kv算法 (3)'!$H$2:$H$53</c:f>
              <c:numCache>
                <c:formatCode>General</c:formatCode>
                <c:ptCount val="52"/>
                <c:pt idx="0">
                  <c:v>1.9940582797810329</c:v>
                </c:pt>
                <c:pt idx="1">
                  <c:v>3.6945291455976168</c:v>
                </c:pt>
                <c:pt idx="2">
                  <c:v>5.1106586685739792</c:v>
                </c:pt>
                <c:pt idx="3">
                  <c:v>6.2514017294524322</c:v>
                </c:pt>
                <c:pt idx="4">
                  <c:v>7.1254311891734545</c:v>
                </c:pt>
                <c:pt idx="5">
                  <c:v>7.7411467706435459</c:v>
                </c:pt>
                <c:pt idx="6">
                  <c:v>8.1066836607851158</c:v>
                </c:pt>
                <c:pt idx="7">
                  <c:v>8.22992084167916</c:v>
                </c:pt>
                <c:pt idx="8">
                  <c:v>8.1184891593310482</c:v>
                </c:pt>
                <c:pt idx="9">
                  <c:v>7.7797791383238319</c:v>
                </c:pt>
                <c:pt idx="10">
                  <c:v>7.2209485503612996</c:v>
                </c:pt>
                <c:pt idx="11">
                  <c:v>6.4489297444515188</c:v>
                </c:pt>
                <c:pt idx="12">
                  <c:v>5.4704367462380787</c:v>
                </c:pt>
                <c:pt idx="13">
                  <c:v>4.2919721337490699</c:v>
                </c:pt>
                <c:pt idx="14">
                  <c:v>2.9198336966051954</c:v>
                </c:pt>
                <c:pt idx="15">
                  <c:v>1.3601208855066176</c:v>
                </c:pt>
                <c:pt idx="16">
                  <c:v>-0.38125894139652416</c:v>
                </c:pt>
                <c:pt idx="17">
                  <c:v>-2.2985844688529937</c:v>
                </c:pt>
                <c:pt idx="18">
                  <c:v>-4.386314565383941</c:v>
                </c:pt>
                <c:pt idx="19">
                  <c:v>-6.6390826086798995</c:v>
                </c:pt>
                <c:pt idx="20">
                  <c:v>-9.0516909897106075</c:v>
                </c:pt>
                <c:pt idx="21">
                  <c:v>-11.619105789919104</c:v>
                </c:pt>
                <c:pt idx="22">
                  <c:v>-14.336451626049552</c:v>
                </c:pt>
                <c:pt idx="23">
                  <c:v>-17.199006657328169</c:v>
                </c:pt>
                <c:pt idx="24">
                  <c:v>-20.202197749886381</c:v>
                </c:pt>
                <c:pt idx="25">
                  <c:v>-23.34159579347147</c:v>
                </c:pt>
                <c:pt idx="26">
                  <c:v>-26.61291116565107</c:v>
                </c:pt>
                <c:pt idx="27">
                  <c:v>-30.011989338864794</c:v>
                </c:pt>
                <c:pt idx="28">
                  <c:v>-33.534806625824871</c:v>
                </c:pt>
                <c:pt idx="29">
                  <c:v>-37.177466058908948</c:v>
                </c:pt>
                <c:pt idx="30">
                  <c:v>-40.936193399324651</c:v>
                </c:pt>
                <c:pt idx="31">
                  <c:v>-44.80733327195918</c:v>
                </c:pt>
                <c:pt idx="32">
                  <c:v>-48.787345421955791</c:v>
                </c:pt>
                <c:pt idx="33">
                  <c:v>-52.872801089183639</c:v>
                </c:pt>
                <c:pt idx="34">
                  <c:v>-57.060379496887407</c:v>
                </c:pt>
                <c:pt idx="35">
                  <c:v>-61.346864450922084</c:v>
                </c:pt>
                <c:pt idx="36">
                  <c:v>-65.72914104608904</c:v>
                </c:pt>
                <c:pt idx="37">
                  <c:v>-70.204192476200745</c:v>
                </c:pt>
                <c:pt idx="38">
                  <c:v>-74.769096944607725</c:v>
                </c:pt>
                <c:pt idx="39">
                  <c:v>-79.42102467202352</c:v>
                </c:pt>
                <c:pt idx="40">
                  <c:v>-84.157234998583277</c:v>
                </c:pt>
                <c:pt idx="41">
                  <c:v>-88.975073577168757</c:v>
                </c:pt>
                <c:pt idx="42">
                  <c:v>-93.871969655124758</c:v>
                </c:pt>
                <c:pt idx="43">
                  <c:v>-98.845433441583822</c:v>
                </c:pt>
                <c:pt idx="44">
                  <c:v>-103.8930535577029</c:v>
                </c:pt>
                <c:pt idx="45">
                  <c:v>-109.01249456720041</c:v>
                </c:pt>
                <c:pt idx="46">
                  <c:v>-114.20149458466582</c:v>
                </c:pt>
                <c:pt idx="47">
                  <c:v>-119.457862959191</c:v>
                </c:pt>
                <c:pt idx="48">
                  <c:v>-124.77947803095248</c:v>
                </c:pt>
                <c:pt idx="49">
                  <c:v>-130.16428495844622</c:v>
                </c:pt>
                <c:pt idx="50">
                  <c:v>-135.61029361415044</c:v>
                </c:pt>
                <c:pt idx="51">
                  <c:v>-141.11557654646109</c:v>
                </c:pt>
              </c:numCache>
            </c:numRef>
          </c:yVal>
          <c:smooth val="1"/>
          <c:extLst>
            <c:ext xmlns:c16="http://schemas.microsoft.com/office/drawing/2014/chart" uri="{C3380CC4-5D6E-409C-BE32-E72D297353CC}">
              <c16:uniqueId val="{00000000-2642-4BE6-8B0A-D59999000341}"/>
            </c:ext>
          </c:extLst>
        </c:ser>
        <c:dLbls>
          <c:showLegendKey val="0"/>
          <c:showVal val="0"/>
          <c:showCatName val="0"/>
          <c:showSerName val="0"/>
          <c:showPercent val="0"/>
          <c:showBubbleSize val="0"/>
        </c:dLbls>
        <c:axId val="84592896"/>
        <c:axId val="84680704"/>
      </c:scatterChart>
      <c:valAx>
        <c:axId val="84592896"/>
        <c:scaling>
          <c:orientation val="minMax"/>
          <c:max val="20"/>
          <c:min val="0"/>
        </c:scaling>
        <c:delete val="0"/>
        <c:axPos val="b"/>
        <c:numFmt formatCode="General" sourceLinked="1"/>
        <c:majorTickMark val="out"/>
        <c:minorTickMark val="none"/>
        <c:tickLblPos val="nextTo"/>
        <c:crossAx val="84680704"/>
        <c:crosses val="autoZero"/>
        <c:crossBetween val="midCat"/>
        <c:majorUnit val="1"/>
      </c:valAx>
      <c:valAx>
        <c:axId val="84680704"/>
        <c:scaling>
          <c:orientation val="minMax"/>
          <c:max val="20"/>
          <c:min val="0"/>
        </c:scaling>
        <c:delete val="0"/>
        <c:axPos val="l"/>
        <c:majorGridlines/>
        <c:numFmt formatCode="General" sourceLinked="1"/>
        <c:majorTickMark val="out"/>
        <c:minorTickMark val="none"/>
        <c:tickLblPos val="nextTo"/>
        <c:crossAx val="84592896"/>
        <c:crosses val="autoZero"/>
        <c:crossBetween val="midCat"/>
        <c:majorUnit val="1"/>
      </c:valAx>
      <c:spPr>
        <a:scene3d>
          <a:camera prst="orthographicFront"/>
          <a:lightRig rig="threePt" dir="t"/>
        </a:scene3d>
        <a:sp3d>
          <a:bevelB w="0" h="0"/>
        </a:sp3d>
      </c:spPr>
    </c:plotArea>
    <c:legend>
      <c:legendPos val="r"/>
      <c:overlay val="0"/>
    </c:legend>
    <c:plotVisOnly val="1"/>
    <c:dispBlanksAs val="gap"/>
    <c:showDLblsOverMax val="0"/>
  </c:chart>
  <c:printSettings>
    <c:headerFooter/>
    <c:pageMargins b="0.75000000000001299" l="0.70000000000000062" r="0.70000000000000062" t="0.75000000000001299"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absolute">
    <xdr:from>
      <xdr:col>8</xdr:col>
      <xdr:colOff>361950</xdr:colOff>
      <xdr:row>0</xdr:row>
      <xdr:rowOff>0</xdr:rowOff>
    </xdr:from>
    <xdr:to>
      <xdr:col>19</xdr:col>
      <xdr:colOff>18150</xdr:colOff>
      <xdr:row>39</xdr:row>
      <xdr:rowOff>141975</xdr:rowOff>
    </xdr:to>
    <xdr:graphicFrame macro="">
      <xdr:nvGraphicFramePr>
        <xdr:cNvPr id="2" name="图表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9</xdr:col>
      <xdr:colOff>47625</xdr:colOff>
      <xdr:row>0</xdr:row>
      <xdr:rowOff>0</xdr:rowOff>
    </xdr:from>
    <xdr:to>
      <xdr:col>19</xdr:col>
      <xdr:colOff>389625</xdr:colOff>
      <xdr:row>39</xdr:row>
      <xdr:rowOff>141975</xdr:rowOff>
    </xdr:to>
    <xdr:graphicFrame macro="">
      <xdr:nvGraphicFramePr>
        <xdr:cNvPr id="2" name="图表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U84"/>
  <sheetViews>
    <sheetView zoomScaleNormal="100" workbookViewId="0">
      <selection activeCell="E12" sqref="E12"/>
    </sheetView>
  </sheetViews>
  <sheetFormatPr defaultRowHeight="14.25" x14ac:dyDescent="0.2"/>
  <cols>
    <col min="2" max="2" width="13.875" bestFit="1" customWidth="1"/>
  </cols>
  <sheetData>
    <row r="1" spans="1:9" x14ac:dyDescent="0.2">
      <c r="A1" s="6" t="s">
        <v>19</v>
      </c>
      <c r="B1" s="3" t="s">
        <v>7</v>
      </c>
      <c r="C1" s="4" t="s">
        <v>15</v>
      </c>
      <c r="D1" s="4" t="s">
        <v>16</v>
      </c>
      <c r="E1" s="3" t="s">
        <v>17</v>
      </c>
      <c r="G1" t="s">
        <v>1</v>
      </c>
      <c r="H1" t="s">
        <v>2</v>
      </c>
      <c r="I1" t="s">
        <v>0</v>
      </c>
    </row>
    <row r="2" spans="1:9" x14ac:dyDescent="0.2">
      <c r="A2">
        <v>0.86</v>
      </c>
      <c r="B2">
        <v>0.82</v>
      </c>
      <c r="C2">
        <v>-0.32</v>
      </c>
      <c r="D2">
        <v>-23.45</v>
      </c>
      <c r="E2">
        <v>2.83</v>
      </c>
      <c r="G2">
        <f>(EXP(C$2*I2)-1)*(B$4+E$10*B$2/C$2)/C$2-E$10*B$2/C$2*I2</f>
        <v>1.1402474233200206</v>
      </c>
      <c r="H2">
        <f>(EXP(C$2*I2)-1)*(A$4+D$2/C$2)/C$2-D$2/C$2*I2</f>
        <v>3.0167947731905738</v>
      </c>
      <c r="I2">
        <v>0.1</v>
      </c>
    </row>
    <row r="3" spans="1:9" x14ac:dyDescent="0.2">
      <c r="A3" s="10" t="s">
        <v>23</v>
      </c>
      <c r="B3" s="10" t="s">
        <v>24</v>
      </c>
      <c r="C3" t="s">
        <v>55</v>
      </c>
      <c r="D3" s="6" t="s">
        <v>10</v>
      </c>
      <c r="E3">
        <v>1</v>
      </c>
      <c r="F3" t="s">
        <v>49</v>
      </c>
      <c r="G3">
        <f t="shared" ref="G3:G53" si="0">(EXP(C$2*I3)-1)*(B$4+E$10*B$2/C$2)/C$2-E$10*B$2/C$2*I3</f>
        <v>2.2445845580043073</v>
      </c>
      <c r="H3">
        <f t="shared" ref="H3:H53" si="1">(EXP(C$2*I3)-1)*(A$4+D$2/C$2)/C$2-D$2/C$2*I3</f>
        <v>5.7077926646069024</v>
      </c>
      <c r="I3">
        <v>0.2</v>
      </c>
    </row>
    <row r="4" spans="1:9" x14ac:dyDescent="0.2">
      <c r="A4">
        <f>SIN(RADIANS(E11))*A13</f>
        <v>31.831962409834269</v>
      </c>
      <c r="B4">
        <f>COS(RADIANS(E11))*A13</f>
        <v>11.585886815460329</v>
      </c>
      <c r="D4" s="6" t="s">
        <v>26</v>
      </c>
      <c r="E4">
        <f>ABS(COS(RADIANS(E11)))</f>
        <v>0.34202014332566882</v>
      </c>
      <c r="F4" t="s">
        <v>47</v>
      </c>
      <c r="G4">
        <f t="shared" si="0"/>
        <v>3.3141423417805167</v>
      </c>
      <c r="H4">
        <f t="shared" si="1"/>
        <v>8.0832541316039439</v>
      </c>
      <c r="I4">
        <v>0.3</v>
      </c>
    </row>
    <row r="5" spans="1:9" x14ac:dyDescent="0.2">
      <c r="A5" s="14" t="s">
        <v>31</v>
      </c>
      <c r="B5" s="14" t="s">
        <v>32</v>
      </c>
      <c r="C5" t="s">
        <v>51</v>
      </c>
      <c r="D5" s="6" t="s">
        <v>27</v>
      </c>
      <c r="E5">
        <f>POWER(2,-ABS(0.7*SIN(RADIANS(E11))*TAN(RADIANS(E11))))</f>
        <v>0.28573526750944084</v>
      </c>
      <c r="F5" t="s">
        <v>46</v>
      </c>
      <c r="G5">
        <f t="shared" si="0"/>
        <v>4.3500160952818199</v>
      </c>
      <c r="H5">
        <f t="shared" si="1"/>
        <v>10.153116494665248</v>
      </c>
      <c r="I5">
        <v>0.4</v>
      </c>
    </row>
    <row r="6" spans="1:9" x14ac:dyDescent="0.2">
      <c r="A6">
        <f>ABS(F15*F8/10-A8-COS(RADIANS(F11))*A2*E3)</f>
        <v>19.836600493711373</v>
      </c>
      <c r="B6">
        <f>E9-B8-SIN(RADIANS(F11))*A2*E3</f>
        <v>-1.5689849314687172</v>
      </c>
      <c r="D6" s="6" t="s">
        <v>18</v>
      </c>
      <c r="E6">
        <f>1</f>
        <v>1</v>
      </c>
      <c r="G6">
        <f t="shared" si="0"/>
        <v>5.3532666437509127</v>
      </c>
      <c r="H6">
        <f t="shared" si="1"/>
        <v>11.927004114087204</v>
      </c>
      <c r="I6">
        <v>0.5</v>
      </c>
    </row>
    <row r="7" spans="1:9" x14ac:dyDescent="0.2">
      <c r="A7" s="6" t="s">
        <v>29</v>
      </c>
      <c r="B7" s="5" t="s">
        <v>30</v>
      </c>
      <c r="C7" t="s">
        <v>54</v>
      </c>
      <c r="D7" s="19" t="s">
        <v>57</v>
      </c>
      <c r="E7" s="12" t="s">
        <v>56</v>
      </c>
      <c r="F7" s="12" t="s">
        <v>60</v>
      </c>
      <c r="G7">
        <f t="shared" si="0"/>
        <v>6.3249214034177959</v>
      </c>
      <c r="H7">
        <f t="shared" si="1"/>
        <v>13.414238246165333</v>
      </c>
      <c r="I7">
        <v>0.6</v>
      </c>
    </row>
    <row r="8" spans="1:9" x14ac:dyDescent="0.2">
      <c r="A8">
        <f>COS(RADIANS(E28))*E23-SIN(RADIANS(E28))*F23</f>
        <v>-0.13073781697144701</v>
      </c>
      <c r="B8">
        <f>SIN(RADIANS(E28))*E23+COS(RADIANS(E28))*F23</f>
        <v>0.76084927759283605</v>
      </c>
      <c r="D8" s="7" t="s">
        <v>20</v>
      </c>
      <c r="E8">
        <f>ABS(F8)/10</f>
        <v>20</v>
      </c>
      <c r="F8" s="13">
        <v>200</v>
      </c>
      <c r="G8">
        <f t="shared" si="0"/>
        <v>7.2659754336637485</v>
      </c>
      <c r="H8">
        <f t="shared" si="1"/>
        <v>14.623846588974885</v>
      </c>
      <c r="I8">
        <v>0.7</v>
      </c>
    </row>
    <row r="9" spans="1:9" x14ac:dyDescent="0.2">
      <c r="D9" s="7" t="s">
        <v>21</v>
      </c>
      <c r="E9">
        <f>F9/10</f>
        <v>0</v>
      </c>
      <c r="F9" s="13">
        <v>0</v>
      </c>
      <c r="G9">
        <f t="shared" si="0"/>
        <v>8.1773924560491142</v>
      </c>
      <c r="H9">
        <f t="shared" si="1"/>
        <v>15.564572527523026</v>
      </c>
      <c r="I9">
        <v>0.8</v>
      </c>
    </row>
    <row r="10" spans="1:9" x14ac:dyDescent="0.2">
      <c r="A10" s="2" t="s">
        <v>13</v>
      </c>
      <c r="B10" s="1" t="s">
        <v>12</v>
      </c>
      <c r="C10" s="1" t="s">
        <v>11</v>
      </c>
      <c r="D10" s="8" t="s">
        <v>22</v>
      </c>
      <c r="E10">
        <f>IF(F11&lt;90,F10/10,-F10/10)*F15</f>
        <v>0</v>
      </c>
      <c r="F10" s="13">
        <v>0</v>
      </c>
      <c r="G10">
        <f t="shared" si="0"/>
        <v>9.060105841248367</v>
      </c>
      <c r="H10">
        <f t="shared" si="1"/>
        <v>16.244884087738669</v>
      </c>
      <c r="I10">
        <v>0.9</v>
      </c>
    </row>
    <row r="11" spans="1:9" x14ac:dyDescent="0.2">
      <c r="A11">
        <f>C2^2*(TAN(RADIANS(E11))*A6-B6)/(D2-E10*B$2*TAN(RADIANS(E11)))</f>
        <v>-0.24484122469715783</v>
      </c>
      <c r="B11">
        <f>IF(ISERROR(1-EXP(C2*C11)+C2*C11),0,1-EXP(C2*C11)+C2*C11)</f>
        <v>-0.24533440915775317</v>
      </c>
      <c r="C11">
        <v>2.4772636693075092</v>
      </c>
      <c r="D11" s="9" t="s">
        <v>34</v>
      </c>
      <c r="E11">
        <f>E19</f>
        <v>70</v>
      </c>
      <c r="F11" s="13">
        <v>70</v>
      </c>
      <c r="G11">
        <f t="shared" si="0"/>
        <v>9.9150195649032469</v>
      </c>
      <c r="H11">
        <f t="shared" si="1"/>
        <v>16.672982608471159</v>
      </c>
      <c r="I11">
        <v>1</v>
      </c>
    </row>
    <row r="12" spans="1:9" x14ac:dyDescent="0.2">
      <c r="A12" s="2" t="s">
        <v>14</v>
      </c>
      <c r="D12" t="s">
        <v>73</v>
      </c>
      <c r="E12" t="s">
        <v>71</v>
      </c>
      <c r="F12" t="s">
        <v>72</v>
      </c>
      <c r="G12">
        <f t="shared" si="0"/>
        <v>10.743009133372839</v>
      </c>
      <c r="H12">
        <f t="shared" si="1"/>
        <v>16.856811140378085</v>
      </c>
      <c r="I12">
        <v>1.1000000000000001</v>
      </c>
    </row>
    <row r="13" spans="1:9" x14ac:dyDescent="0.2">
      <c r="A13">
        <f>((C2^2*B6+D2*A11)^2+(C2^2*A6+E10*B2*A11)^2)^0.5/ABS(C2^2*C11-C2*A11)</f>
        <v>33.874866850834401</v>
      </c>
      <c r="D13" s="11" t="s">
        <v>25</v>
      </c>
      <c r="E13">
        <f>IF(A13*E2&lt;0.5,0,A13*E2)</f>
        <v>95.865873187861354</v>
      </c>
      <c r="G13">
        <f t="shared" si="0"/>
        <v>11.544922480328552</v>
      </c>
      <c r="H13">
        <f t="shared" si="1"/>
        <v>16.804062580303025</v>
      </c>
      <c r="I13">
        <v>1.2</v>
      </c>
    </row>
    <row r="14" spans="1:9" x14ac:dyDescent="0.2">
      <c r="G14">
        <f t="shared" si="0"/>
        <v>12.32158083511232</v>
      </c>
      <c r="H14">
        <f t="shared" si="1"/>
        <v>16.522187549474225</v>
      </c>
      <c r="I14">
        <v>1.3</v>
      </c>
    </row>
    <row r="15" spans="1:9" x14ac:dyDescent="0.2">
      <c r="A15" t="s">
        <v>74</v>
      </c>
      <c r="B15" s="17" t="s">
        <v>75</v>
      </c>
      <c r="C15" s="32" t="s">
        <v>119</v>
      </c>
      <c r="D15" s="33"/>
      <c r="E15" s="23">
        <f>ATAN2(F8*F15,F9)/3.141592*180</f>
        <v>0</v>
      </c>
      <c r="F15">
        <f>IF(F11&gt;90,-1,1)</f>
        <v>1</v>
      </c>
      <c r="G15">
        <f t="shared" si="0"/>
        <v>13.073779563747198</v>
      </c>
      <c r="H15">
        <f t="shared" si="1"/>
        <v>16.018402023591904</v>
      </c>
      <c r="I15">
        <v>1.4</v>
      </c>
    </row>
    <row r="16" spans="1:9" x14ac:dyDescent="0.2">
      <c r="A16" s="29" t="s">
        <v>33</v>
      </c>
      <c r="B16" s="29"/>
      <c r="C16" s="32" t="s">
        <v>120</v>
      </c>
      <c r="D16" s="33"/>
      <c r="E16">
        <f>IF(E15&lt;-90,E15+360,E15)</f>
        <v>0</v>
      </c>
      <c r="F16">
        <f>IF(E16&gt;90,INT(E16),INT(E16)+1)</f>
        <v>1</v>
      </c>
      <c r="G16">
        <f t="shared" si="0"/>
        <v>13.802288983461683</v>
      </c>
      <c r="H16">
        <f t="shared" si="1"/>
        <v>15.299694722617758</v>
      </c>
      <c r="I16">
        <v>1.5</v>
      </c>
    </row>
    <row r="17" spans="1:9" x14ac:dyDescent="0.2">
      <c r="A17" s="34" t="s">
        <v>62</v>
      </c>
      <c r="B17" s="34"/>
      <c r="C17" s="32" t="s">
        <v>63</v>
      </c>
      <c r="D17" s="33"/>
      <c r="E17">
        <f>IF(F11&gt;90,IF(F11&gt;F16,(F16+90)/2,F11),IF(F11&lt;F16,(F16+90)/2,F11))</f>
        <v>70</v>
      </c>
      <c r="G17">
        <f t="shared" si="0"/>
        <v>14.507855151561859</v>
      </c>
      <c r="H17">
        <f t="shared" si="1"/>
        <v>14.37283426783506</v>
      </c>
      <c r="I17">
        <v>1.6</v>
      </c>
    </row>
    <row r="18" spans="1:9" x14ac:dyDescent="0.2">
      <c r="C18" s="33" t="s">
        <v>65</v>
      </c>
      <c r="D18" s="33"/>
      <c r="E18">
        <f>IF(E17=F11,1,0)</f>
        <v>1</v>
      </c>
      <c r="F18">
        <f>IF(E17&gt;90,INT(E17),INT(E17)+1)</f>
        <v>71</v>
      </c>
      <c r="G18">
        <f t="shared" si="0"/>
        <v>15.191200629459276</v>
      </c>
      <c r="H18">
        <f t="shared" si="1"/>
        <v>13.244376113508139</v>
      </c>
      <c r="I18">
        <v>1.7</v>
      </c>
    </row>
    <row r="19" spans="1:9" x14ac:dyDescent="0.2">
      <c r="C19" s="32" t="s">
        <v>64</v>
      </c>
      <c r="D19" s="33"/>
      <c r="E19" s="15">
        <f>IF(E18,IF(F11&gt;90,180-F11,F11),IF(F18&gt;90,180-F18,F18))</f>
        <v>70</v>
      </c>
      <c r="G19">
        <f t="shared" si="0"/>
        <v>15.85302522263698</v>
      </c>
      <c r="H19">
        <f t="shared" si="1"/>
        <v>11.920669260240771</v>
      </c>
      <c r="I19">
        <v>1.8</v>
      </c>
    </row>
    <row r="20" spans="1:9" x14ac:dyDescent="0.2">
      <c r="G20">
        <f t="shared" si="0"/>
        <v>16.494006697311473</v>
      </c>
      <c r="H20">
        <f t="shared" si="1"/>
        <v>10.407862756907093</v>
      </c>
      <c r="I20">
        <v>1.9</v>
      </c>
    </row>
    <row r="21" spans="1:9" x14ac:dyDescent="0.2">
      <c r="A21" s="29" t="s">
        <v>35</v>
      </c>
      <c r="B21" s="29"/>
      <c r="C21" s="32" t="s">
        <v>36</v>
      </c>
      <c r="D21" s="33"/>
      <c r="E21">
        <v>0.77200000000000002</v>
      </c>
      <c r="G21">
        <f t="shared" si="0"/>
        <v>17.114801474524548</v>
      </c>
      <c r="H21">
        <f t="shared" si="1"/>
        <v>8.7119119978152924</v>
      </c>
      <c r="I21">
        <v>2</v>
      </c>
    </row>
    <row r="22" spans="1:9" x14ac:dyDescent="0.2">
      <c r="C22" s="32" t="s">
        <v>41</v>
      </c>
      <c r="D22" s="33"/>
      <c r="E22">
        <v>99.75</v>
      </c>
      <c r="G22">
        <f t="shared" si="0"/>
        <v>17.7160453023758</v>
      </c>
      <c r="H22">
        <f t="shared" si="1"/>
        <v>6.8385848215518195</v>
      </c>
      <c r="I22">
        <v>2.1</v>
      </c>
    </row>
    <row r="23" spans="1:9" x14ac:dyDescent="0.2">
      <c r="C23" s="32" t="s">
        <v>42</v>
      </c>
      <c r="D23" s="33"/>
      <c r="E23">
        <f>COS(RADIANS(E22))*E21</f>
        <v>-0.13073781697144701</v>
      </c>
      <c r="F23">
        <f>SIN(RADIANS(E22))*E21</f>
        <v>0.76084927759283605</v>
      </c>
      <c r="G23">
        <f t="shared" si="0"/>
        <v>18.298353907084234</v>
      </c>
      <c r="H23">
        <f t="shared" si="1"/>
        <v>4.7934674177519696</v>
      </c>
      <c r="I23">
        <v>2.2000000000000002</v>
      </c>
    </row>
    <row r="24" spans="1:9" ht="14.25" customHeight="1" x14ac:dyDescent="0.2">
      <c r="B24" s="17" t="s">
        <v>43</v>
      </c>
      <c r="C24" s="32" t="s">
        <v>37</v>
      </c>
      <c r="D24" s="33"/>
      <c r="E24">
        <v>28</v>
      </c>
      <c r="G24">
        <f t="shared" si="0"/>
        <v>18.862323623545702</v>
      </c>
      <c r="H24">
        <f t="shared" si="1"/>
        <v>2.5819700478461129</v>
      </c>
      <c r="I24">
        <v>2.2999999999999998</v>
      </c>
    </row>
    <row r="25" spans="1:9" x14ac:dyDescent="0.2">
      <c r="C25" s="32" t="s">
        <v>39</v>
      </c>
      <c r="D25" s="33"/>
      <c r="E25">
        <v>0</v>
      </c>
      <c r="G25">
        <f t="shared" si="0"/>
        <v>19.408532006031979</v>
      </c>
      <c r="H25">
        <f t="shared" si="1"/>
        <v>0.20933258564068069</v>
      </c>
      <c r="I25">
        <v>2.4</v>
      </c>
    </row>
    <row r="26" spans="1:9" x14ac:dyDescent="0.2">
      <c r="C26" s="32" t="s">
        <v>40</v>
      </c>
      <c r="D26" s="33"/>
      <c r="E26">
        <v>0</v>
      </c>
      <c r="G26">
        <f t="shared" si="0"/>
        <v>19.937538419656764</v>
      </c>
      <c r="H26">
        <f t="shared" si="1"/>
        <v>-2.3193701165938876</v>
      </c>
      <c r="I26">
        <v>2.5</v>
      </c>
    </row>
    <row r="27" spans="1:9" x14ac:dyDescent="0.2">
      <c r="A27" t="s">
        <v>52</v>
      </c>
      <c r="B27" s="17" t="s">
        <v>44</v>
      </c>
      <c r="C27" s="32" t="s">
        <v>38</v>
      </c>
      <c r="D27" s="33"/>
      <c r="E27">
        <f>E26-E25</f>
        <v>0</v>
      </c>
      <c r="F27" s="16" t="s">
        <v>53</v>
      </c>
      <c r="G27">
        <f t="shared" si="0"/>
        <v>20.449884613214479</v>
      </c>
      <c r="H27">
        <f t="shared" si="1"/>
        <v>-4.9992230310303967</v>
      </c>
      <c r="I27">
        <v>2.6</v>
      </c>
    </row>
    <row r="28" spans="1:9" x14ac:dyDescent="0.2">
      <c r="C28" s="30" t="s">
        <v>45</v>
      </c>
      <c r="D28" s="31"/>
      <c r="E28">
        <f>E27</f>
        <v>0</v>
      </c>
      <c r="G28">
        <f t="shared" si="0"/>
        <v>20.946095273978347</v>
      </c>
      <c r="H28">
        <f t="shared" si="1"/>
        <v>-7.825465920867174</v>
      </c>
      <c r="I28">
        <v>2.7</v>
      </c>
    </row>
    <row r="29" spans="1:9" x14ac:dyDescent="0.2">
      <c r="G29">
        <f t="shared" si="0"/>
        <v>21.426678565026023</v>
      </c>
      <c r="H29">
        <f t="shared" si="1"/>
        <v>-10.793488465429505</v>
      </c>
      <c r="I29">
        <v>2.8</v>
      </c>
    </row>
    <row r="30" spans="1:9" x14ac:dyDescent="0.2">
      <c r="A30" s="28" t="s">
        <v>3</v>
      </c>
      <c r="B30" s="28"/>
      <c r="C30" s="28"/>
      <c r="D30" s="28"/>
      <c r="E30" s="20" t="s">
        <v>66</v>
      </c>
      <c r="F30" s="20">
        <f>INT(65+E10*2)+1</f>
        <v>66</v>
      </c>
      <c r="G30">
        <f t="shared" si="0"/>
        <v>21.892126645642982</v>
      </c>
      <c r="H30">
        <f t="shared" si="1"/>
        <v>-13.898825538798462</v>
      </c>
      <c r="I30">
        <v>2.9</v>
      </c>
    </row>
    <row r="31" spans="1:9" ht="14.25" customHeight="1" x14ac:dyDescent="0.2">
      <c r="A31" s="28" t="s">
        <v>4</v>
      </c>
      <c r="B31" s="28"/>
      <c r="C31" s="28"/>
      <c r="D31" s="28"/>
      <c r="E31" s="20" t="s">
        <v>67</v>
      </c>
      <c r="F31" s="22">
        <f>INT(115-E10*2)</f>
        <v>115</v>
      </c>
      <c r="G31">
        <f t="shared" si="0"/>
        <v>22.342916175336637</v>
      </c>
      <c r="H31">
        <f t="shared" si="1"/>
        <v>-17.13715263713172</v>
      </c>
      <c r="I31">
        <v>3</v>
      </c>
    </row>
    <row r="32" spans="1:9" x14ac:dyDescent="0.2">
      <c r="A32" s="28" t="s">
        <v>5</v>
      </c>
      <c r="B32" s="28"/>
      <c r="C32" s="28"/>
      <c r="D32" s="28"/>
      <c r="E32" s="21" t="s">
        <v>68</v>
      </c>
      <c r="F32" s="22">
        <f>INT(90-E8+E10*2)+1</f>
        <v>71</v>
      </c>
      <c r="G32">
        <f t="shared" si="0"/>
        <v>22.779508801977325</v>
      </c>
      <c r="H32">
        <f t="shared" si="1"/>
        <v>-20.504281449993726</v>
      </c>
      <c r="I32">
        <v>3.1</v>
      </c>
    </row>
    <row r="33" spans="1:20" x14ac:dyDescent="0.2">
      <c r="A33" s="27" t="s">
        <v>6</v>
      </c>
      <c r="B33" s="27"/>
      <c r="C33" s="27"/>
      <c r="D33" s="27"/>
      <c r="E33" s="21" t="s">
        <v>69</v>
      </c>
      <c r="F33" s="22">
        <f>INT(90+E8-E10*2)</f>
        <v>110</v>
      </c>
      <c r="G33">
        <f t="shared" si="0"/>
        <v>23.202351634566075</v>
      </c>
      <c r="H33">
        <f t="shared" si="1"/>
        <v>-23.996155571160017</v>
      </c>
      <c r="I33">
        <v>3.2</v>
      </c>
    </row>
    <row r="34" spans="1:20" x14ac:dyDescent="0.2">
      <c r="A34" s="28" t="s">
        <v>8</v>
      </c>
      <c r="B34" s="28"/>
      <c r="C34" s="28"/>
      <c r="D34" s="28"/>
      <c r="F34" t="s">
        <v>116</v>
      </c>
      <c r="G34">
        <f t="shared" si="0"/>
        <v>23.611877701113297</v>
      </c>
      <c r="H34">
        <f t="shared" si="1"/>
        <v>-27.608846344502467</v>
      </c>
      <c r="I34">
        <v>3.3</v>
      </c>
    </row>
    <row r="35" spans="1:20" x14ac:dyDescent="0.2">
      <c r="A35" s="27" t="s">
        <v>9</v>
      </c>
      <c r="B35" s="27"/>
      <c r="C35" s="27"/>
      <c r="D35" s="27"/>
      <c r="G35">
        <f t="shared" si="0"/>
        <v>24.008506392097278</v>
      </c>
      <c r="H35">
        <f t="shared" si="1"/>
        <v>-31.338548840702344</v>
      </c>
      <c r="I35">
        <v>3.4</v>
      </c>
    </row>
    <row r="36" spans="1:20" x14ac:dyDescent="0.2">
      <c r="A36" s="27" t="s">
        <v>117</v>
      </c>
      <c r="B36" s="27"/>
      <c r="C36" s="27"/>
      <c r="D36" s="27"/>
      <c r="G36">
        <f t="shared" si="0"/>
        <v>24.392643889956723</v>
      </c>
      <c r="H36">
        <f t="shared" si="1"/>
        <v>-35.181577960669927</v>
      </c>
      <c r="I36">
        <v>3.5</v>
      </c>
    </row>
    <row r="37" spans="1:20" x14ac:dyDescent="0.2">
      <c r="G37">
        <f t="shared" si="0"/>
        <v>24.764683585057035</v>
      </c>
      <c r="H37">
        <f t="shared" si="1"/>
        <v>-39.134364661681531</v>
      </c>
      <c r="I37">
        <v>3.6</v>
      </c>
    </row>
    <row r="38" spans="1:20" ht="14.25" customHeight="1" x14ac:dyDescent="0.2">
      <c r="A38" s="26" t="s">
        <v>58</v>
      </c>
      <c r="B38" s="26"/>
      <c r="C38" s="26"/>
      <c r="D38" s="26"/>
      <c r="E38" s="26"/>
      <c r="F38" s="26"/>
      <c r="G38">
        <f t="shared" si="0"/>
        <v>25.125006478556415</v>
      </c>
      <c r="H38">
        <f t="shared" si="1"/>
        <v>-43.193452302367206</v>
      </c>
      <c r="I38">
        <v>3.7</v>
      </c>
    </row>
    <row r="39" spans="1:20" x14ac:dyDescent="0.2">
      <c r="A39" s="26"/>
      <c r="B39" s="26"/>
      <c r="C39" s="26"/>
      <c r="D39" s="26"/>
      <c r="E39" s="26"/>
      <c r="F39" s="26"/>
      <c r="G39">
        <f t="shared" si="0"/>
        <v>25.473981572584393</v>
      </c>
      <c r="H39">
        <f t="shared" si="1"/>
        <v>-47.355493102808481</v>
      </c>
      <c r="I39">
        <v>3.8</v>
      </c>
    </row>
    <row r="40" spans="1:20" x14ac:dyDescent="0.2">
      <c r="A40" s="26"/>
      <c r="B40" s="26"/>
      <c r="C40" s="26"/>
      <c r="D40" s="26"/>
      <c r="E40" s="26"/>
      <c r="F40" s="26"/>
      <c r="G40">
        <f t="shared" si="0"/>
        <v>25.81196624813219</v>
      </c>
      <c r="H40">
        <f t="shared" si="1"/>
        <v>-51.617244716118961</v>
      </c>
      <c r="I40">
        <v>3.9</v>
      </c>
    </row>
    <row r="41" spans="1:20" x14ac:dyDescent="0.2">
      <c r="A41" s="26"/>
      <c r="B41" s="26"/>
      <c r="C41" s="26"/>
      <c r="D41" s="26"/>
      <c r="E41" s="26"/>
      <c r="F41" s="26"/>
      <c r="G41">
        <f t="shared" si="0"/>
        <v>26.139306631042135</v>
      </c>
      <c r="H41">
        <f t="shared" si="1"/>
        <v>-55.975566907997631</v>
      </c>
      <c r="I41">
        <v>4</v>
      </c>
    </row>
    <row r="42" spans="1:20" x14ac:dyDescent="0.2">
      <c r="A42" s="26"/>
      <c r="B42" s="26"/>
      <c r="C42" s="26"/>
      <c r="D42" s="26"/>
      <c r="E42" s="26"/>
      <c r="F42" s="26"/>
      <c r="G42">
        <f t="shared" si="0"/>
        <v>26.456337946470747</v>
      </c>
      <c r="H42">
        <f t="shared" si="1"/>
        <v>-60.427418340854871</v>
      </c>
      <c r="I42">
        <v>4.0999999999999996</v>
      </c>
    </row>
    <row r="43" spans="1:20" ht="14.25" customHeight="1" x14ac:dyDescent="0.2">
      <c r="A43" s="26"/>
      <c r="B43" s="26"/>
      <c r="C43" s="26"/>
      <c r="D43" s="26"/>
      <c r="E43" s="26"/>
      <c r="F43" s="26"/>
      <c r="G43">
        <f t="shared" si="0"/>
        <v>26.763384862188584</v>
      </c>
      <c r="H43">
        <f t="shared" si="1"/>
        <v>-64.969853459216665</v>
      </c>
      <c r="I43">
        <v>4.2</v>
      </c>
      <c r="J43" s="26" t="s">
        <v>50</v>
      </c>
      <c r="K43" s="26"/>
      <c r="L43" s="26"/>
      <c r="M43" s="26"/>
      <c r="N43" s="26"/>
      <c r="O43" s="26"/>
      <c r="P43" s="26"/>
      <c r="Q43" s="26"/>
      <c r="R43" s="26"/>
      <c r="S43" s="26"/>
      <c r="T43" s="26"/>
    </row>
    <row r="44" spans="1:20" x14ac:dyDescent="0.2">
      <c r="A44" s="26"/>
      <c r="B44" s="26"/>
      <c r="C44" s="26"/>
      <c r="D44" s="26"/>
      <c r="E44" s="26"/>
      <c r="F44" s="26"/>
      <c r="G44">
        <f t="shared" si="0"/>
        <v>27.060761821068425</v>
      </c>
      <c r="H44">
        <f t="shared" si="1"/>
        <v>-69.600019473218623</v>
      </c>
      <c r="I44">
        <v>4.3</v>
      </c>
      <c r="J44" s="26"/>
      <c r="K44" s="26"/>
      <c r="L44" s="26"/>
      <c r="M44" s="26"/>
      <c r="N44" s="26"/>
      <c r="O44" s="26"/>
      <c r="P44" s="26"/>
      <c r="Q44" s="26"/>
      <c r="R44" s="26"/>
      <c r="S44" s="26"/>
      <c r="T44" s="26"/>
    </row>
    <row r="45" spans="1:20" x14ac:dyDescent="0.2">
      <c r="A45" s="26"/>
      <c r="B45" s="26"/>
      <c r="C45" s="26"/>
      <c r="D45" s="26"/>
      <c r="E45" s="26"/>
      <c r="F45" s="26"/>
      <c r="G45">
        <f t="shared" si="0"/>
        <v>27.348773363102239</v>
      </c>
      <c r="H45">
        <f t="shared" si="1"/>
        <v>-74.315153437099838</v>
      </c>
      <c r="I45">
        <v>4.4000000000000004</v>
      </c>
      <c r="J45" s="26"/>
      <c r="K45" s="26"/>
      <c r="L45" s="26"/>
      <c r="M45" s="26"/>
      <c r="N45" s="26"/>
      <c r="O45" s="26"/>
      <c r="P45" s="26"/>
      <c r="Q45" s="26"/>
      <c r="R45" s="26"/>
      <c r="S45" s="26"/>
      <c r="T45" s="26"/>
    </row>
    <row r="46" spans="1:20" x14ac:dyDescent="0.2">
      <c r="A46" s="26"/>
      <c r="B46" s="26"/>
      <c r="C46" s="26"/>
      <c r="D46" s="26"/>
      <c r="E46" s="26"/>
      <c r="F46" s="26"/>
      <c r="G46">
        <f t="shared" si="0"/>
        <v>27.627714437276772</v>
      </c>
      <c r="H46">
        <f t="shared" si="1"/>
        <v>-79.1125794197049</v>
      </c>
      <c r="I46">
        <v>4.5</v>
      </c>
      <c r="J46" s="26"/>
      <c r="K46" s="26"/>
      <c r="L46" s="26"/>
      <c r="M46" s="26"/>
      <c r="N46" s="26"/>
      <c r="O46" s="26"/>
      <c r="P46" s="26"/>
      <c r="Q46" s="26"/>
      <c r="R46" s="26"/>
      <c r="S46" s="26"/>
      <c r="T46" s="26"/>
    </row>
    <row r="47" spans="1:20" x14ac:dyDescent="0.2">
      <c r="A47" s="26"/>
      <c r="B47" s="26"/>
      <c r="C47" s="26"/>
      <c r="D47" s="26"/>
      <c r="E47" s="26"/>
      <c r="F47" s="26"/>
      <c r="G47">
        <f t="shared" si="0"/>
        <v>27.897870703627053</v>
      </c>
      <c r="H47">
        <f t="shared" si="1"/>
        <v>-83.989705764096442</v>
      </c>
      <c r="I47">
        <v>4.5999999999999996</v>
      </c>
      <c r="J47" s="26"/>
      <c r="K47" s="26"/>
      <c r="L47" s="26"/>
      <c r="M47" s="26"/>
      <c r="N47" s="26"/>
      <c r="O47" s="26"/>
      <c r="P47" s="26"/>
      <c r="Q47" s="26"/>
      <c r="R47" s="26"/>
      <c r="S47" s="26"/>
      <c r="T47" s="26"/>
    </row>
    <row r="48" spans="1:20" x14ac:dyDescent="0.2">
      <c r="A48" s="26"/>
      <c r="B48" s="26"/>
      <c r="C48" s="26"/>
      <c r="D48" s="26"/>
      <c r="E48" s="26"/>
      <c r="F48" s="26"/>
      <c r="G48">
        <f t="shared" si="0"/>
        <v>28.159518825777234</v>
      </c>
      <c r="H48">
        <f t="shared" si="1"/>
        <v>-88.944022433472441</v>
      </c>
      <c r="I48">
        <v>4.7</v>
      </c>
      <c r="J48" s="26"/>
      <c r="K48" s="26"/>
      <c r="L48" s="26"/>
      <c r="M48" s="26"/>
      <c r="N48" s="26"/>
      <c r="O48" s="26"/>
      <c r="P48" s="26"/>
      <c r="Q48" s="26"/>
      <c r="R48" s="26"/>
      <c r="S48" s="26"/>
      <c r="T48" s="26"/>
    </row>
    <row r="49" spans="1:21" ht="14.25" customHeight="1" x14ac:dyDescent="0.2">
      <c r="A49" s="26"/>
      <c r="B49" s="26"/>
      <c r="C49" s="26"/>
      <c r="D49" s="26"/>
      <c r="E49" s="26"/>
      <c r="F49" s="26"/>
      <c r="G49">
        <f t="shared" si="0"/>
        <v>28.412926754268351</v>
      </c>
      <c r="H49">
        <f t="shared" si="1"/>
        <v>-93.97309844066865</v>
      </c>
      <c r="I49">
        <v>4.8</v>
      </c>
      <c r="J49" s="26"/>
      <c r="K49" s="26"/>
      <c r="L49" s="26"/>
      <c r="M49" s="26"/>
      <c r="N49" s="26"/>
      <c r="O49" s="26"/>
      <c r="P49" s="26"/>
      <c r="Q49" s="26"/>
      <c r="R49" s="26"/>
      <c r="S49" s="26"/>
      <c r="T49" s="26"/>
    </row>
    <row r="50" spans="1:21" x14ac:dyDescent="0.2">
      <c r="A50" s="26"/>
      <c r="B50" s="26"/>
      <c r="C50" s="26"/>
      <c r="D50" s="26"/>
      <c r="E50" s="26"/>
      <c r="F50" s="26"/>
      <c r="G50">
        <f t="shared" si="0"/>
        <v>28.658354000963048</v>
      </c>
      <c r="H50">
        <f t="shared" si="1"/>
        <v>-99.074579358615665</v>
      </c>
      <c r="I50">
        <v>4.9000000000000004</v>
      </c>
      <c r="J50" s="18"/>
      <c r="K50" s="18"/>
      <c r="L50" s="18"/>
      <c r="M50" s="18"/>
      <c r="N50" s="18"/>
      <c r="O50" s="18"/>
      <c r="P50" s="18"/>
      <c r="Q50" s="18"/>
      <c r="R50" s="18"/>
      <c r="S50" s="18"/>
      <c r="T50" s="18"/>
    </row>
    <row r="51" spans="1:21" x14ac:dyDescent="0.2">
      <c r="G51">
        <f t="shared" si="0"/>
        <v>28.896051904808445</v>
      </c>
      <c r="H51">
        <f t="shared" si="1"/>
        <v>-104.2461849091996</v>
      </c>
      <c r="I51">
        <v>5</v>
      </c>
      <c r="J51" s="18"/>
      <c r="K51" s="18"/>
      <c r="L51" s="18"/>
      <c r="M51" s="18"/>
      <c r="N51" s="18"/>
      <c r="O51" s="18"/>
      <c r="P51" s="18"/>
      <c r="Q51" s="18"/>
      <c r="R51" s="18"/>
      <c r="S51" s="18"/>
      <c r="T51" s="18"/>
    </row>
    <row r="52" spans="1:21" x14ac:dyDescent="0.2">
      <c r="A52" s="25" t="s">
        <v>28</v>
      </c>
      <c r="B52" s="25"/>
      <c r="C52" s="25"/>
      <c r="D52" s="25"/>
      <c r="E52" s="25"/>
      <c r="F52" s="25"/>
      <c r="G52">
        <f t="shared" si="0"/>
        <v>29.126263889229129</v>
      </c>
      <c r="H52">
        <f t="shared" si="1"/>
        <v>-109.48570662805838</v>
      </c>
      <c r="I52">
        <v>5.0999999999999996</v>
      </c>
      <c r="J52" s="18"/>
      <c r="K52" s="18"/>
      <c r="L52" s="18"/>
      <c r="M52" s="18"/>
      <c r="N52" s="18"/>
      <c r="O52" s="18"/>
      <c r="P52" s="18"/>
      <c r="Q52" s="18"/>
      <c r="R52" s="18"/>
      <c r="S52" s="18"/>
      <c r="T52" s="18"/>
    </row>
    <row r="53" spans="1:21" x14ac:dyDescent="0.2">
      <c r="A53" s="25"/>
      <c r="B53" s="25"/>
      <c r="C53" s="25"/>
      <c r="D53" s="25"/>
      <c r="E53" s="25"/>
      <c r="F53" s="25"/>
      <c r="G53">
        <f t="shared" si="0"/>
        <v>29.349225711414089</v>
      </c>
      <c r="H53">
        <f t="shared" si="1"/>
        <v>-114.79100560292085</v>
      </c>
      <c r="I53">
        <v>5.2</v>
      </c>
    </row>
    <row r="54" spans="1:21" x14ac:dyDescent="0.2">
      <c r="A54" s="25"/>
      <c r="B54" s="25"/>
      <c r="C54" s="25"/>
      <c r="D54" s="25"/>
      <c r="E54" s="25"/>
      <c r="F54" s="25"/>
    </row>
    <row r="55" spans="1:21" x14ac:dyDescent="0.2">
      <c r="A55" s="25" t="s">
        <v>48</v>
      </c>
      <c r="B55" s="25"/>
      <c r="C55" s="25"/>
      <c r="D55" s="25"/>
      <c r="E55" s="25"/>
      <c r="F55" s="25"/>
      <c r="G55" s="25"/>
      <c r="H55" s="25"/>
    </row>
    <row r="56" spans="1:21" x14ac:dyDescent="0.2">
      <c r="A56" s="25"/>
      <c r="B56" s="25"/>
      <c r="C56" s="25"/>
      <c r="D56" s="25"/>
      <c r="E56" s="25"/>
      <c r="F56" s="25"/>
      <c r="G56" s="25"/>
      <c r="H56" s="25"/>
      <c r="J56">
        <v>13.4</v>
      </c>
      <c r="K56">
        <v>13.4</v>
      </c>
      <c r="L56">
        <v>13.4</v>
      </c>
      <c r="M56">
        <v>13.5</v>
      </c>
      <c r="N56">
        <v>13.5</v>
      </c>
      <c r="O56">
        <v>13.7</v>
      </c>
      <c r="P56">
        <v>13.7</v>
      </c>
      <c r="Q56">
        <v>1.3</v>
      </c>
      <c r="R56">
        <v>6.4</v>
      </c>
      <c r="S56">
        <v>6.6</v>
      </c>
      <c r="T56">
        <v>6.2</v>
      </c>
      <c r="U56">
        <v>17.2</v>
      </c>
    </row>
    <row r="57" spans="1:21" x14ac:dyDescent="0.2">
      <c r="A57" s="25"/>
      <c r="B57" s="25"/>
      <c r="C57" s="25"/>
      <c r="D57" s="25"/>
      <c r="E57" s="25"/>
      <c r="F57" s="25"/>
      <c r="G57" s="25"/>
      <c r="H57" s="25"/>
      <c r="J57">
        <v>3.4</v>
      </c>
      <c r="K57">
        <v>3.4</v>
      </c>
      <c r="L57">
        <v>3.4</v>
      </c>
      <c r="M57">
        <v>3.2</v>
      </c>
      <c r="N57">
        <v>3.2</v>
      </c>
      <c r="O57">
        <v>-5.4</v>
      </c>
      <c r="P57">
        <v>-5.4</v>
      </c>
      <c r="Q57">
        <v>0.7</v>
      </c>
      <c r="R57">
        <v>-0.9</v>
      </c>
      <c r="S57">
        <v>-1.3</v>
      </c>
      <c r="T57">
        <v>-0.4</v>
      </c>
      <c r="U57">
        <v>-3.2</v>
      </c>
    </row>
    <row r="58" spans="1:21" x14ac:dyDescent="0.2">
      <c r="A58" s="25"/>
      <c r="B58" s="25"/>
      <c r="C58" s="25"/>
      <c r="D58" s="25"/>
      <c r="E58" s="25"/>
      <c r="F58" s="25"/>
      <c r="G58" s="25"/>
      <c r="H58" s="25"/>
      <c r="J58">
        <v>1.5</v>
      </c>
      <c r="K58">
        <v>2.1</v>
      </c>
      <c r="L58">
        <v>2.1</v>
      </c>
      <c r="M58">
        <v>1.8</v>
      </c>
      <c r="N58">
        <v>0.9</v>
      </c>
      <c r="O58">
        <v>-0.2</v>
      </c>
      <c r="P58">
        <v>2.2000000000000002</v>
      </c>
      <c r="Q58">
        <v>2.1</v>
      </c>
      <c r="R58">
        <v>0.9</v>
      </c>
      <c r="S58">
        <v>0.5</v>
      </c>
      <c r="T58">
        <v>0.5</v>
      </c>
      <c r="U58">
        <v>0.4</v>
      </c>
    </row>
    <row r="59" spans="1:21" x14ac:dyDescent="0.2">
      <c r="A59" s="25"/>
      <c r="B59" s="25"/>
      <c r="C59" s="25"/>
      <c r="D59" s="25"/>
      <c r="E59" s="25"/>
      <c r="F59" s="25"/>
      <c r="G59" s="25"/>
      <c r="H59" s="25"/>
      <c r="J59">
        <v>69</v>
      </c>
      <c r="K59">
        <v>76</v>
      </c>
      <c r="L59">
        <v>63</v>
      </c>
      <c r="M59">
        <v>78</v>
      </c>
      <c r="N59">
        <v>78</v>
      </c>
      <c r="O59">
        <v>69</v>
      </c>
      <c r="P59">
        <v>63</v>
      </c>
      <c r="Q59">
        <v>81</v>
      </c>
      <c r="R59">
        <v>57</v>
      </c>
      <c r="S59">
        <v>65</v>
      </c>
      <c r="T59">
        <v>80</v>
      </c>
      <c r="U59">
        <v>55</v>
      </c>
    </row>
    <row r="60" spans="1:21" x14ac:dyDescent="0.2">
      <c r="A60" s="25"/>
      <c r="B60" s="25"/>
      <c r="C60" s="25"/>
      <c r="D60" s="25"/>
      <c r="E60" s="25"/>
      <c r="F60" s="25"/>
      <c r="G60" s="25"/>
      <c r="H60" s="25"/>
      <c r="J60">
        <v>73</v>
      </c>
      <c r="K60">
        <v>84</v>
      </c>
      <c r="L60">
        <v>66</v>
      </c>
      <c r="M60">
        <v>92</v>
      </c>
      <c r="N60">
        <v>98</v>
      </c>
      <c r="O60">
        <v>73</v>
      </c>
      <c r="P60">
        <v>56</v>
      </c>
      <c r="Q60">
        <v>27</v>
      </c>
      <c r="R60">
        <v>37</v>
      </c>
      <c r="S60">
        <v>43</v>
      </c>
      <c r="T60">
        <v>68</v>
      </c>
      <c r="U60">
        <v>65</v>
      </c>
    </row>
    <row r="61" spans="1:21" x14ac:dyDescent="0.2">
      <c r="A61" s="25"/>
      <c r="B61" s="25"/>
      <c r="C61" s="25"/>
      <c r="D61" s="25"/>
      <c r="E61" s="25"/>
      <c r="F61" s="25"/>
      <c r="G61" s="25"/>
      <c r="H61" s="25"/>
      <c r="J61">
        <v>70.55</v>
      </c>
      <c r="K61">
        <v>79.63</v>
      </c>
      <c r="L61">
        <v>63.65</v>
      </c>
      <c r="M61">
        <v>86.6</v>
      </c>
      <c r="N61">
        <v>93.2</v>
      </c>
      <c r="O61">
        <v>71.02</v>
      </c>
      <c r="P61">
        <v>53.04</v>
      </c>
      <c r="Q61">
        <v>25.91</v>
      </c>
      <c r="R61">
        <v>36.53</v>
      </c>
      <c r="S61">
        <v>41.28</v>
      </c>
      <c r="T61">
        <v>64.62</v>
      </c>
      <c r="U61">
        <v>62.9</v>
      </c>
    </row>
    <row r="62" spans="1:21" x14ac:dyDescent="0.2">
      <c r="A62" s="25"/>
      <c r="B62" s="25"/>
      <c r="C62" s="25"/>
      <c r="D62" s="25"/>
      <c r="E62" s="25"/>
      <c r="F62" s="25"/>
      <c r="G62" s="25"/>
      <c r="H62" s="25"/>
    </row>
    <row r="64" spans="1:21" ht="14.25" customHeight="1" x14ac:dyDescent="0.2">
      <c r="A64" s="25" t="s">
        <v>59</v>
      </c>
      <c r="B64" s="25"/>
      <c r="C64" s="25"/>
      <c r="D64" s="25"/>
      <c r="E64" s="25"/>
      <c r="F64" s="25"/>
      <c r="G64" s="25"/>
      <c r="H64" s="25"/>
    </row>
    <row r="65" spans="1:8" x14ac:dyDescent="0.2">
      <c r="A65" s="25"/>
      <c r="B65" s="25"/>
      <c r="C65" s="25"/>
      <c r="D65" s="25"/>
      <c r="E65" s="25"/>
      <c r="F65" s="25"/>
      <c r="G65" s="25"/>
      <c r="H65" s="25"/>
    </row>
    <row r="66" spans="1:8" x14ac:dyDescent="0.2">
      <c r="A66" s="25"/>
      <c r="B66" s="25"/>
      <c r="C66" s="25"/>
      <c r="D66" s="25"/>
      <c r="E66" s="25"/>
      <c r="F66" s="25"/>
      <c r="G66" s="25"/>
      <c r="H66" s="25"/>
    </row>
    <row r="67" spans="1:8" x14ac:dyDescent="0.2">
      <c r="A67" s="25"/>
      <c r="B67" s="25"/>
      <c r="C67" s="25"/>
      <c r="D67" s="25"/>
      <c r="E67" s="25"/>
      <c r="F67" s="25"/>
      <c r="G67" s="25"/>
      <c r="H67" s="25"/>
    </row>
    <row r="68" spans="1:8" x14ac:dyDescent="0.2">
      <c r="A68" s="25"/>
      <c r="B68" s="25"/>
      <c r="C68" s="25"/>
      <c r="D68" s="25"/>
      <c r="E68" s="25"/>
      <c r="F68" s="25"/>
      <c r="G68" s="25"/>
      <c r="H68" s="25"/>
    </row>
    <row r="70" spans="1:8" ht="14.25" customHeight="1" x14ac:dyDescent="0.2">
      <c r="A70" s="25" t="s">
        <v>61</v>
      </c>
      <c r="B70" s="25"/>
      <c r="C70" s="25"/>
      <c r="D70" s="25"/>
      <c r="E70" s="25"/>
      <c r="F70" s="25"/>
      <c r="G70" s="25"/>
      <c r="H70" s="25"/>
    </row>
    <row r="71" spans="1:8" x14ac:dyDescent="0.2">
      <c r="A71" s="25"/>
      <c r="B71" s="25"/>
      <c r="C71" s="25"/>
      <c r="D71" s="25"/>
      <c r="E71" s="25"/>
      <c r="F71" s="25"/>
      <c r="G71" s="25"/>
      <c r="H71" s="25"/>
    </row>
    <row r="72" spans="1:8" x14ac:dyDescent="0.2">
      <c r="A72" s="25"/>
      <c r="B72" s="25"/>
      <c r="C72" s="25"/>
      <c r="D72" s="25"/>
      <c r="E72" s="25"/>
      <c r="F72" s="25"/>
      <c r="G72" s="25"/>
      <c r="H72" s="25"/>
    </row>
    <row r="73" spans="1:8" x14ac:dyDescent="0.2">
      <c r="A73" s="25"/>
      <c r="B73" s="25"/>
      <c r="C73" s="25"/>
      <c r="D73" s="25"/>
      <c r="E73" s="25"/>
      <c r="F73" s="25"/>
      <c r="G73" s="25"/>
      <c r="H73" s="25"/>
    </row>
    <row r="74" spans="1:8" ht="14.25" customHeight="1" x14ac:dyDescent="0.2">
      <c r="A74" s="25"/>
      <c r="B74" s="25"/>
      <c r="C74" s="25"/>
      <c r="D74" s="25"/>
      <c r="E74" s="25"/>
      <c r="F74" s="25"/>
      <c r="G74" s="25"/>
      <c r="H74" s="25"/>
    </row>
    <row r="75" spans="1:8" x14ac:dyDescent="0.2">
      <c r="A75" s="25"/>
      <c r="B75" s="25"/>
      <c r="C75" s="25"/>
      <c r="D75" s="25"/>
      <c r="E75" s="25"/>
      <c r="F75" s="25"/>
      <c r="G75" s="25"/>
      <c r="H75" s="25"/>
    </row>
    <row r="76" spans="1:8" x14ac:dyDescent="0.2">
      <c r="A76" s="25"/>
      <c r="B76" s="25"/>
      <c r="C76" s="25"/>
      <c r="D76" s="25"/>
      <c r="E76" s="25"/>
      <c r="F76" s="25"/>
      <c r="G76" s="25"/>
      <c r="H76" s="25"/>
    </row>
    <row r="78" spans="1:8" ht="14.25" customHeight="1" x14ac:dyDescent="0.2">
      <c r="A78" s="26" t="s">
        <v>70</v>
      </c>
      <c r="B78" s="26"/>
      <c r="C78" s="26"/>
      <c r="D78" s="26"/>
      <c r="E78" s="26"/>
      <c r="F78" s="26"/>
      <c r="G78" s="26"/>
      <c r="H78" s="26"/>
    </row>
    <row r="79" spans="1:8" x14ac:dyDescent="0.2">
      <c r="A79" s="26"/>
      <c r="B79" s="26"/>
      <c r="C79" s="26"/>
      <c r="D79" s="26"/>
      <c r="E79" s="26"/>
      <c r="F79" s="26"/>
      <c r="G79" s="26"/>
      <c r="H79" s="26"/>
    </row>
    <row r="80" spans="1:8" x14ac:dyDescent="0.2">
      <c r="A80" s="26"/>
      <c r="B80" s="26"/>
      <c r="C80" s="26"/>
      <c r="D80" s="26"/>
      <c r="E80" s="26"/>
      <c r="F80" s="26"/>
      <c r="G80" s="26"/>
      <c r="H80" s="26"/>
    </row>
    <row r="81" spans="1:8" x14ac:dyDescent="0.2">
      <c r="A81" s="26"/>
      <c r="B81" s="26"/>
      <c r="C81" s="26"/>
      <c r="D81" s="26"/>
      <c r="E81" s="26"/>
      <c r="F81" s="26"/>
      <c r="G81" s="26"/>
      <c r="H81" s="26"/>
    </row>
    <row r="82" spans="1:8" x14ac:dyDescent="0.2">
      <c r="A82" s="26"/>
      <c r="B82" s="26"/>
      <c r="C82" s="26"/>
      <c r="D82" s="26"/>
      <c r="E82" s="26"/>
      <c r="F82" s="26"/>
      <c r="G82" s="26"/>
      <c r="H82" s="26"/>
    </row>
    <row r="83" spans="1:8" x14ac:dyDescent="0.2">
      <c r="A83" s="26"/>
      <c r="B83" s="26"/>
      <c r="C83" s="26"/>
      <c r="D83" s="26"/>
      <c r="E83" s="26"/>
      <c r="F83" s="26"/>
      <c r="G83" s="26"/>
      <c r="H83" s="26"/>
    </row>
    <row r="84" spans="1:8" x14ac:dyDescent="0.2">
      <c r="A84" s="26"/>
      <c r="B84" s="26"/>
      <c r="C84" s="26"/>
      <c r="D84" s="26"/>
      <c r="E84" s="26"/>
      <c r="F84" s="26"/>
      <c r="G84" s="26"/>
      <c r="H84" s="26"/>
    </row>
  </sheetData>
  <dataConsolidate/>
  <mergeCells count="30">
    <mergeCell ref="C15:D15"/>
    <mergeCell ref="C18:D18"/>
    <mergeCell ref="C24:D24"/>
    <mergeCell ref="J43:T49"/>
    <mergeCell ref="A55:H62"/>
    <mergeCell ref="A17:B17"/>
    <mergeCell ref="A52:F54"/>
    <mergeCell ref="C26:D26"/>
    <mergeCell ref="C25:D25"/>
    <mergeCell ref="C22:D22"/>
    <mergeCell ref="C23:D23"/>
    <mergeCell ref="A36:D36"/>
    <mergeCell ref="A38:F50"/>
    <mergeCell ref="C27:D27"/>
    <mergeCell ref="A31:D31"/>
    <mergeCell ref="A32:D32"/>
    <mergeCell ref="A33:D33"/>
    <mergeCell ref="A21:B21"/>
    <mergeCell ref="C28:D28"/>
    <mergeCell ref="C21:D21"/>
    <mergeCell ref="A16:B16"/>
    <mergeCell ref="C16:D16"/>
    <mergeCell ref="C19:D19"/>
    <mergeCell ref="C17:D17"/>
    <mergeCell ref="A30:D30"/>
    <mergeCell ref="A70:H76"/>
    <mergeCell ref="A78:H84"/>
    <mergeCell ref="A64:H68"/>
    <mergeCell ref="A35:D35"/>
    <mergeCell ref="A34:D3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T84"/>
  <sheetViews>
    <sheetView tabSelected="1" workbookViewId="0">
      <selection activeCell="G17" sqref="G17"/>
    </sheetView>
  </sheetViews>
  <sheetFormatPr defaultRowHeight="14.25" x14ac:dyDescent="0.2"/>
  <sheetData>
    <row r="1" spans="1:9" x14ac:dyDescent="0.2">
      <c r="A1" s="6" t="s">
        <v>115</v>
      </c>
      <c r="B1" s="3" t="s">
        <v>114</v>
      </c>
      <c r="C1" s="4" t="s">
        <v>113</v>
      </c>
      <c r="D1" s="4" t="s">
        <v>112</v>
      </c>
      <c r="E1" s="3" t="s">
        <v>111</v>
      </c>
      <c r="G1" t="s">
        <v>1</v>
      </c>
      <c r="H1" t="s">
        <v>2</v>
      </c>
      <c r="I1" t="s">
        <v>0</v>
      </c>
    </row>
    <row r="2" spans="1:9" x14ac:dyDescent="0.2">
      <c r="A2">
        <v>0.86</v>
      </c>
      <c r="B2">
        <v>0.82</v>
      </c>
      <c r="C2">
        <v>-0.32</v>
      </c>
      <c r="D2">
        <v>-23.45</v>
      </c>
      <c r="E2">
        <v>2.83</v>
      </c>
      <c r="G2">
        <f t="shared" ref="G2:G33" si="0">(EXP(C$2*I2)-1)*(B$4+E$10*B$2/C$2)/C$2-E$10*B$2/C$2*I2</f>
        <v>0.14809746156013004</v>
      </c>
      <c r="H2">
        <f t="shared" ref="H2:H33" si="1">(EXP(C$2*I2)-1)*(A$4+D$2/C$2)/C$2-D$2/C$2*I2</f>
        <v>1.9940582797810329</v>
      </c>
      <c r="I2">
        <v>0.1</v>
      </c>
    </row>
    <row r="3" spans="1:9" x14ac:dyDescent="0.2">
      <c r="A3" s="10" t="s">
        <v>23</v>
      </c>
      <c r="B3" s="10" t="s">
        <v>110</v>
      </c>
      <c r="C3" t="s">
        <v>55</v>
      </c>
      <c r="D3" s="6" t="s">
        <v>10</v>
      </c>
      <c r="E3">
        <v>1</v>
      </c>
      <c r="F3" t="s">
        <v>109</v>
      </c>
      <c r="G3">
        <f t="shared" si="0"/>
        <v>0.21889913279049011</v>
      </c>
      <c r="H3">
        <f t="shared" si="1"/>
        <v>3.6945291455976168</v>
      </c>
      <c r="I3">
        <v>0.2</v>
      </c>
    </row>
    <row r="4" spans="1:9" x14ac:dyDescent="0.2">
      <c r="A4">
        <f>SIN(RADIANS(E11))*A13</f>
        <v>21.440086916546576</v>
      </c>
      <c r="B4">
        <f>COS(RADIANS(E11))*A13</f>
        <v>1.875764550208308</v>
      </c>
      <c r="D4" s="6" t="s">
        <v>108</v>
      </c>
      <c r="E4">
        <f>ABS(COS(RADIANS(E11)))</f>
        <v>8.7155742747658138E-2</v>
      </c>
      <c r="F4" t="s">
        <v>107</v>
      </c>
      <c r="G4">
        <f t="shared" si="0"/>
        <v>0.21483932231944269</v>
      </c>
      <c r="H4">
        <f t="shared" si="1"/>
        <v>5.1106586685739792</v>
      </c>
      <c r="I4">
        <v>0.3</v>
      </c>
    </row>
    <row r="5" spans="1:9" x14ac:dyDescent="0.2">
      <c r="A5" s="14" t="s">
        <v>106</v>
      </c>
      <c r="B5" s="14" t="s">
        <v>105</v>
      </c>
      <c r="C5" t="s">
        <v>51</v>
      </c>
      <c r="D5" s="6" t="s">
        <v>104</v>
      </c>
      <c r="E5">
        <f>POWER(2,-ABS(0.7*SIN(RADIANS(E11))*TAN(RADIANS(E11))))</f>
        <v>3.9866971987651736E-3</v>
      </c>
      <c r="F5" t="s">
        <v>103</v>
      </c>
      <c r="G5">
        <f t="shared" si="0"/>
        <v>0.13827567407640018</v>
      </c>
      <c r="H5">
        <f t="shared" si="1"/>
        <v>6.2514017294524322</v>
      </c>
      <c r="I5">
        <v>0.4</v>
      </c>
    </row>
    <row r="6" spans="1:9" x14ac:dyDescent="0.2">
      <c r="A6">
        <f>IF(AND(F8&lt;0,F11&lt;90),F8/10-A8-COS(RADIANS(F11))*A2*E6,ABS(F8/10-A8-COS(RADIANS(F11))*A2*E6))</f>
        <v>-2.944216121791539</v>
      </c>
      <c r="B6">
        <f>E9-B8-SIN(RADIANS(F11))*A2*E6</f>
        <v>6.3824232820482631</v>
      </c>
      <c r="D6" s="6" t="s">
        <v>102</v>
      </c>
      <c r="E6">
        <f>1</f>
        <v>1</v>
      </c>
      <c r="G6">
        <f t="shared" si="0"/>
        <v>-8.5084182748431658E-3</v>
      </c>
      <c r="H6">
        <f t="shared" si="1"/>
        <v>7.1254311891734545</v>
      </c>
      <c r="I6">
        <v>0.5</v>
      </c>
    </row>
    <row r="7" spans="1:9" x14ac:dyDescent="0.2">
      <c r="A7" s="6" t="s">
        <v>101</v>
      </c>
      <c r="B7" s="5" t="s">
        <v>100</v>
      </c>
      <c r="C7" t="s">
        <v>54</v>
      </c>
      <c r="D7" s="19" t="s">
        <v>57</v>
      </c>
      <c r="E7" s="12" t="s">
        <v>56</v>
      </c>
      <c r="F7" s="12" t="s">
        <v>99</v>
      </c>
      <c r="G7">
        <f t="shared" si="0"/>
        <v>-0.22330147294138492</v>
      </c>
      <c r="H7">
        <f t="shared" si="1"/>
        <v>7.7411467706435459</v>
      </c>
      <c r="I7">
        <v>0.6</v>
      </c>
    </row>
    <row r="8" spans="1:9" x14ac:dyDescent="0.2">
      <c r="A8">
        <f>COS(RADIANS(E28))*E23-SIN(RADIANS(E28))*F23</f>
        <v>-0.13073781697144701</v>
      </c>
      <c r="B8">
        <f>SIN(RADIANS(E28))*E23+COS(RADIANS(E28))*F23</f>
        <v>0.76084927759283605</v>
      </c>
      <c r="D8" s="7" t="s">
        <v>98</v>
      </c>
      <c r="E8">
        <f>ABS(F8)/10</f>
        <v>3</v>
      </c>
      <c r="F8" s="13">
        <v>-30</v>
      </c>
      <c r="G8">
        <f t="shared" si="0"/>
        <v>-0.50396165525069492</v>
      </c>
      <c r="H8">
        <f t="shared" si="1"/>
        <v>8.1066836607851158</v>
      </c>
      <c r="I8">
        <v>0.7</v>
      </c>
    </row>
    <row r="9" spans="1:9" x14ac:dyDescent="0.2">
      <c r="D9" s="7" t="s">
        <v>97</v>
      </c>
      <c r="E9">
        <f>F9/10</f>
        <v>8</v>
      </c>
      <c r="F9" s="13">
        <v>80</v>
      </c>
      <c r="G9">
        <f t="shared" si="0"/>
        <v>-0.848414584224642</v>
      </c>
      <c r="H9">
        <f t="shared" si="1"/>
        <v>8.22992084167916</v>
      </c>
      <c r="I9">
        <v>0.8</v>
      </c>
    </row>
    <row r="10" spans="1:9" x14ac:dyDescent="0.2">
      <c r="A10" s="2" t="s">
        <v>96</v>
      </c>
      <c r="B10" s="1" t="s">
        <v>95</v>
      </c>
      <c r="C10" s="1" t="s">
        <v>11</v>
      </c>
      <c r="D10" s="8" t="s">
        <v>94</v>
      </c>
      <c r="E10">
        <f>IF(AND(F8&lt;0,F11&lt;90),F10/10,IF(F8&gt;0,F10/10,-F10/10))</f>
        <v>-9</v>
      </c>
      <c r="F10" s="13">
        <v>-90</v>
      </c>
      <c r="G10">
        <f t="shared" si="0"/>
        <v>-1.2546512082322216</v>
      </c>
      <c r="H10">
        <f t="shared" si="1"/>
        <v>8.1184891593310482</v>
      </c>
      <c r="I10">
        <v>0.9</v>
      </c>
    </row>
    <row r="11" spans="1:9" x14ac:dyDescent="0.2">
      <c r="A11">
        <f>C2^2*(TAN(RADIANS(E11))*A6-B6)/(D2-E10*B$2*TAN(RADIANS(E11)))</f>
        <v>-6.731241103733146E-2</v>
      </c>
      <c r="B11">
        <f>IF(ISERROR(1-EXP(C2*C11)+C2*C11),0,1-EXP(C2*C11)+C2*C11)</f>
        <v>-6.79127299416869E-2</v>
      </c>
      <c r="C11">
        <v>1.2270089330145584</v>
      </c>
      <c r="D11" s="9" t="s">
        <v>93</v>
      </c>
      <c r="E11">
        <f>IF(AND(F8&gt;0,F11&gt;90),F11,IF(F11&gt;90,180-F11,F11))</f>
        <v>85</v>
      </c>
      <c r="F11" s="13">
        <v>85</v>
      </c>
      <c r="G11">
        <f t="shared" si="0"/>
        <v>-1.7207257475450533</v>
      </c>
      <c r="H11">
        <f t="shared" si="1"/>
        <v>7.7797791383238319</v>
      </c>
      <c r="I11">
        <v>1</v>
      </c>
    </row>
    <row r="12" spans="1:9" x14ac:dyDescent="0.2">
      <c r="A12" s="2" t="s">
        <v>92</v>
      </c>
      <c r="E12" t="s">
        <v>91</v>
      </c>
      <c r="F12" t="s">
        <v>90</v>
      </c>
      <c r="G12">
        <f t="shared" si="0"/>
        <v>-2.2447537016889072</v>
      </c>
      <c r="H12">
        <f t="shared" si="1"/>
        <v>7.2209485503612996</v>
      </c>
      <c r="I12">
        <v>1.1000000000000001</v>
      </c>
    </row>
    <row r="13" spans="1:9" x14ac:dyDescent="0.2">
      <c r="A13">
        <f>((C2^2*B6+D2*A11)^2+(C2^2*A6+E10*B2*A11)^2)^0.5/ABS(C2^2*C11-C2*A11)</f>
        <v>21.521984565483031</v>
      </c>
      <c r="D13" s="24" t="s">
        <v>89</v>
      </c>
      <c r="E13">
        <f>IF(A13*E2&lt;0.5,0,A13*E2)</f>
        <v>60.907216320316977</v>
      </c>
      <c r="G13">
        <f t="shared" si="0"/>
        <v>-2.8249099195505742</v>
      </c>
      <c r="H13">
        <f t="shared" si="1"/>
        <v>6.4489297444515188</v>
      </c>
      <c r="I13">
        <v>1.2</v>
      </c>
    </row>
    <row r="14" spans="1:9" x14ac:dyDescent="0.2">
      <c r="G14">
        <f t="shared" si="0"/>
        <v>-3.4594267302636226</v>
      </c>
      <c r="H14">
        <f t="shared" si="1"/>
        <v>5.4704367462380787</v>
      </c>
      <c r="I14">
        <v>1.3</v>
      </c>
    </row>
    <row r="15" spans="1:9" x14ac:dyDescent="0.2">
      <c r="A15" s="35" t="s">
        <v>121</v>
      </c>
      <c r="B15" s="35"/>
      <c r="C15" s="35"/>
      <c r="D15" s="35"/>
      <c r="E15" s="35"/>
      <c r="F15" s="35"/>
      <c r="G15">
        <f t="shared" si="0"/>
        <v>-4.1465921329589648</v>
      </c>
      <c r="H15">
        <f t="shared" si="1"/>
        <v>4.2919721337490699</v>
      </c>
      <c r="I15">
        <v>1.4</v>
      </c>
    </row>
    <row r="16" spans="1:9" x14ac:dyDescent="0.2">
      <c r="A16" s="35"/>
      <c r="B16" s="35"/>
      <c r="C16" s="35"/>
      <c r="D16" s="35"/>
      <c r="E16" s="35"/>
      <c r="F16" s="35"/>
      <c r="G16">
        <f t="shared" si="0"/>
        <v>-4.8847480435263471</v>
      </c>
      <c r="H16">
        <f t="shared" si="1"/>
        <v>2.9198336966051954</v>
      </c>
      <c r="I16">
        <v>1.5</v>
      </c>
    </row>
    <row r="17" spans="1:9" x14ac:dyDescent="0.2">
      <c r="A17" s="35"/>
      <c r="B17" s="35"/>
      <c r="C17" s="35"/>
      <c r="D17" s="35"/>
      <c r="E17" s="35"/>
      <c r="F17" s="35"/>
      <c r="G17">
        <f t="shared" si="0"/>
        <v>-5.6722885965913719</v>
      </c>
      <c r="H17">
        <f t="shared" si="1"/>
        <v>1.3601208855066176</v>
      </c>
      <c r="I17">
        <v>1.6</v>
      </c>
    </row>
    <row r="18" spans="1:9" x14ac:dyDescent="0.2">
      <c r="A18" s="35"/>
      <c r="B18" s="35"/>
      <c r="C18" s="35"/>
      <c r="D18" s="35"/>
      <c r="E18" s="35"/>
      <c r="F18" s="35"/>
      <c r="G18">
        <f t="shared" si="0"/>
        <v>-6.5076585009690078</v>
      </c>
      <c r="H18">
        <f t="shared" si="1"/>
        <v>-0.38125894139652416</v>
      </c>
      <c r="I18">
        <v>1.7</v>
      </c>
    </row>
    <row r="19" spans="1:9" x14ac:dyDescent="0.2">
      <c r="A19" s="35"/>
      <c r="B19" s="35"/>
      <c r="C19" s="35"/>
      <c r="D19" s="35"/>
      <c r="E19" s="35"/>
      <c r="F19" s="35"/>
      <c r="G19">
        <f t="shared" si="0"/>
        <v>-7.3893514469094583</v>
      </c>
      <c r="H19">
        <f t="shared" si="1"/>
        <v>-2.2985844688529937</v>
      </c>
      <c r="I19">
        <v>1.8</v>
      </c>
    </row>
    <row r="20" spans="1:9" x14ac:dyDescent="0.2">
      <c r="G20">
        <f t="shared" si="0"/>
        <v>-8.315908563505424</v>
      </c>
      <c r="H20">
        <f t="shared" si="1"/>
        <v>-4.386314565383941</v>
      </c>
      <c r="I20">
        <v>1.9</v>
      </c>
    </row>
    <row r="21" spans="1:9" x14ac:dyDescent="0.2">
      <c r="A21" s="29" t="s">
        <v>35</v>
      </c>
      <c r="B21" s="29"/>
      <c r="C21" s="32" t="s">
        <v>36</v>
      </c>
      <c r="D21" s="33"/>
      <c r="E21">
        <v>0.77200000000000002</v>
      </c>
      <c r="G21">
        <f t="shared" si="0"/>
        <v>-9.285916924680798</v>
      </c>
      <c r="H21">
        <f t="shared" si="1"/>
        <v>-6.6390826086798995</v>
      </c>
      <c r="I21">
        <v>2</v>
      </c>
    </row>
    <row r="22" spans="1:9" x14ac:dyDescent="0.2">
      <c r="C22" s="32" t="s">
        <v>88</v>
      </c>
      <c r="D22" s="33"/>
      <c r="E22">
        <v>99.75</v>
      </c>
      <c r="G22">
        <f t="shared" si="0"/>
        <v>-10.298008102230853</v>
      </c>
      <c r="H22">
        <f t="shared" si="1"/>
        <v>-9.0516909897106075</v>
      </c>
      <c r="I22">
        <v>2.1</v>
      </c>
    </row>
    <row r="23" spans="1:9" x14ac:dyDescent="0.2">
      <c r="C23" s="32" t="s">
        <v>87</v>
      </c>
      <c r="D23" s="33"/>
      <c r="E23">
        <f>COS(RADIANS(E22))*E21</f>
        <v>-0.13073781697144701</v>
      </c>
      <c r="F23">
        <f>SIN(RADIANS(E22))*E21</f>
        <v>0.76084927759283605</v>
      </c>
      <c r="G23">
        <f t="shared" si="0"/>
        <v>-11.350856764432216</v>
      </c>
      <c r="H23">
        <f t="shared" si="1"/>
        <v>-11.619105789919104</v>
      </c>
      <c r="I23">
        <v>2.2000000000000002</v>
      </c>
    </row>
    <row r="24" spans="1:9" ht="14.25" customHeight="1" x14ac:dyDescent="0.2">
      <c r="B24" s="17" t="s">
        <v>86</v>
      </c>
      <c r="C24" s="32" t="s">
        <v>37</v>
      </c>
      <c r="D24" s="33"/>
      <c r="E24">
        <v>28</v>
      </c>
      <c r="G24">
        <f t="shared" si="0"/>
        <v>-12.443179318787372</v>
      </c>
      <c r="H24">
        <f t="shared" si="1"/>
        <v>-14.336451626049552</v>
      </c>
      <c r="I24">
        <v>2.2999999999999998</v>
      </c>
    </row>
    <row r="25" spans="1:9" x14ac:dyDescent="0.2">
      <c r="C25" s="32" t="s">
        <v>85</v>
      </c>
      <c r="D25" s="33"/>
      <c r="E25">
        <v>0</v>
      </c>
      <c r="G25">
        <f t="shared" si="0"/>
        <v>-13.573732597513747</v>
      </c>
      <c r="H25">
        <f t="shared" si="1"/>
        <v>-17.199006657328169</v>
      </c>
      <c r="I25">
        <v>2.4</v>
      </c>
    </row>
    <row r="26" spans="1:9" x14ac:dyDescent="0.2">
      <c r="C26" s="32" t="s">
        <v>84</v>
      </c>
      <c r="D26" s="33"/>
      <c r="E26">
        <v>0</v>
      </c>
      <c r="G26">
        <f t="shared" si="0"/>
        <v>-14.741312584431306</v>
      </c>
      <c r="H26">
        <f t="shared" si="1"/>
        <v>-20.202197749886381</v>
      </c>
      <c r="I26">
        <v>2.5</v>
      </c>
    </row>
    <row r="27" spans="1:9" x14ac:dyDescent="0.2">
      <c r="A27" t="s">
        <v>52</v>
      </c>
      <c r="B27" s="17" t="s">
        <v>44</v>
      </c>
      <c r="C27" s="32" t="s">
        <v>83</v>
      </c>
      <c r="D27" s="33"/>
      <c r="E27">
        <f>E26-E25</f>
        <v>0</v>
      </c>
      <c r="F27" s="16" t="s">
        <v>53</v>
      </c>
      <c r="G27">
        <f t="shared" si="0"/>
        <v>-15.944753181944762</v>
      </c>
      <c r="H27">
        <f t="shared" si="1"/>
        <v>-23.34159579347147</v>
      </c>
      <c r="I27">
        <v>2.6</v>
      </c>
    </row>
    <row r="28" spans="1:9" x14ac:dyDescent="0.2">
      <c r="C28" s="30" t="s">
        <v>82</v>
      </c>
      <c r="D28" s="31"/>
      <c r="E28">
        <f>E27</f>
        <v>0</v>
      </c>
      <c r="G28">
        <f t="shared" si="0"/>
        <v>-17.182925016857716</v>
      </c>
      <c r="H28">
        <f t="shared" si="1"/>
        <v>-26.61291116565107</v>
      </c>
      <c r="I28">
        <v>2.7</v>
      </c>
    </row>
    <row r="29" spans="1:9" x14ac:dyDescent="0.2">
      <c r="G29">
        <f t="shared" si="0"/>
        <v>-18.454734283795851</v>
      </c>
      <c r="H29">
        <f t="shared" si="1"/>
        <v>-30.011989338864794</v>
      </c>
      <c r="I29">
        <v>2.8</v>
      </c>
    </row>
    <row r="30" spans="1:9" x14ac:dyDescent="0.2">
      <c r="A30" s="28" t="s">
        <v>81</v>
      </c>
      <c r="B30" s="28"/>
      <c r="C30" s="28"/>
      <c r="D30" s="28"/>
      <c r="G30">
        <f t="shared" si="0"/>
        <v>-19.759121625054583</v>
      </c>
      <c r="H30">
        <f t="shared" si="1"/>
        <v>-33.534806625824871</v>
      </c>
      <c r="I30">
        <v>2.9</v>
      </c>
    </row>
    <row r="31" spans="1:9" ht="14.25" customHeight="1" x14ac:dyDescent="0.2">
      <c r="A31" s="28" t="s">
        <v>80</v>
      </c>
      <c r="B31" s="28"/>
      <c r="C31" s="28"/>
      <c r="D31" s="28"/>
      <c r="G31">
        <f t="shared" si="0"/>
        <v>-21.095061045724314</v>
      </c>
      <c r="H31">
        <f t="shared" si="1"/>
        <v>-37.177466058908948</v>
      </c>
      <c r="I31">
        <v>3</v>
      </c>
    </row>
    <row r="32" spans="1:9" x14ac:dyDescent="0.2">
      <c r="A32" s="28" t="s">
        <v>79</v>
      </c>
      <c r="B32" s="28"/>
      <c r="C32" s="28"/>
      <c r="D32" s="28"/>
      <c r="G32">
        <f t="shared" si="0"/>
        <v>-22.461558862981867</v>
      </c>
      <c r="H32">
        <f t="shared" si="1"/>
        <v>-40.936193399324651</v>
      </c>
      <c r="I32">
        <v>3.1</v>
      </c>
    </row>
    <row r="33" spans="1:20" x14ac:dyDescent="0.2">
      <c r="A33" s="27" t="s">
        <v>78</v>
      </c>
      <c r="B33" s="27"/>
      <c r="C33" s="27"/>
      <c r="D33" s="27"/>
      <c r="G33">
        <f t="shared" si="0"/>
        <v>-23.857652688472498</v>
      </c>
      <c r="H33">
        <f t="shared" si="1"/>
        <v>-44.80733327195918</v>
      </c>
      <c r="I33">
        <v>3.2</v>
      </c>
    </row>
    <row r="34" spans="1:20" x14ac:dyDescent="0.2">
      <c r="A34" s="28" t="s">
        <v>8</v>
      </c>
      <c r="B34" s="28"/>
      <c r="C34" s="28"/>
      <c r="D34" s="28"/>
      <c r="G34">
        <f t="shared" ref="G34:G53" si="2">(EXP(C$2*I34)-1)*(B$4+E$10*B$2/C$2)/C$2-E$10*B$2/C$2*I34</f>
        <v>-25.282410442740172</v>
      </c>
      <c r="H34">
        <f t="shared" ref="H34:H53" si="3">(EXP(C$2*I34)-1)*(A$4+D$2/C$2)/C$2-D$2/C$2*I34</f>
        <v>-48.787345421955791</v>
      </c>
      <c r="I34">
        <v>3.3</v>
      </c>
    </row>
    <row r="35" spans="1:20" x14ac:dyDescent="0.2">
      <c r="A35" s="27" t="s">
        <v>9</v>
      </c>
      <c r="B35" s="27"/>
      <c r="C35" s="27"/>
      <c r="D35" s="27"/>
      <c r="G35">
        <f t="shared" si="2"/>
        <v>-26.734929400696629</v>
      </c>
      <c r="H35">
        <f t="shared" si="3"/>
        <v>-52.872801089183639</v>
      </c>
      <c r="I35">
        <v>3.4</v>
      </c>
    </row>
    <row r="36" spans="1:20" x14ac:dyDescent="0.2">
      <c r="A36" s="27" t="s">
        <v>118</v>
      </c>
      <c r="B36" s="27"/>
      <c r="C36" s="27"/>
      <c r="D36" s="27"/>
      <c r="G36">
        <f t="shared" si="2"/>
        <v>-28.214335267152144</v>
      </c>
      <c r="H36">
        <f t="shared" si="3"/>
        <v>-57.060379496887407</v>
      </c>
      <c r="I36">
        <v>3.5</v>
      </c>
    </row>
    <row r="37" spans="1:20" x14ac:dyDescent="0.2">
      <c r="G37">
        <f t="shared" si="2"/>
        <v>-29.719781281460726</v>
      </c>
      <c r="H37">
        <f t="shared" si="3"/>
        <v>-61.346864450922084</v>
      </c>
      <c r="I37">
        <v>3.6</v>
      </c>
    </row>
    <row r="38" spans="1:20" ht="14.25" customHeight="1" x14ac:dyDescent="0.2">
      <c r="A38" s="26" t="s">
        <v>58</v>
      </c>
      <c r="B38" s="26"/>
      <c r="C38" s="26"/>
      <c r="D38" s="26"/>
      <c r="E38" s="26"/>
      <c r="F38" s="26"/>
      <c r="G38">
        <f t="shared" si="2"/>
        <v>-31.250447350363324</v>
      </c>
      <c r="H38">
        <f t="shared" si="3"/>
        <v>-65.72914104608904</v>
      </c>
      <c r="I38">
        <v>3.7</v>
      </c>
    </row>
    <row r="39" spans="1:20" x14ac:dyDescent="0.2">
      <c r="A39" s="26"/>
      <c r="B39" s="26"/>
      <c r="C39" s="26"/>
      <c r="D39" s="26"/>
      <c r="E39" s="26"/>
      <c r="F39" s="26"/>
      <c r="G39">
        <f t="shared" si="2"/>
        <v>-32.805539208140644</v>
      </c>
      <c r="H39">
        <f t="shared" si="3"/>
        <v>-70.204192476200745</v>
      </c>
      <c r="I39">
        <v>3.8</v>
      </c>
    </row>
    <row r="40" spans="1:20" x14ac:dyDescent="0.2">
      <c r="A40" s="26"/>
      <c r="B40" s="26"/>
      <c r="C40" s="26"/>
      <c r="D40" s="26"/>
      <c r="E40" s="26"/>
      <c r="F40" s="26"/>
      <c r="G40">
        <f t="shared" si="2"/>
        <v>-34.384287603215583</v>
      </c>
      <c r="H40">
        <f t="shared" si="3"/>
        <v>-74.769096944607725</v>
      </c>
      <c r="I40">
        <v>3.9</v>
      </c>
    </row>
    <row r="41" spans="1:20" x14ac:dyDescent="0.2">
      <c r="A41" s="26"/>
      <c r="B41" s="26"/>
      <c r="C41" s="26"/>
      <c r="D41" s="26"/>
      <c r="E41" s="26"/>
      <c r="F41" s="26"/>
      <c r="G41">
        <f t="shared" si="2"/>
        <v>-35.985947510372498</v>
      </c>
      <c r="H41">
        <f t="shared" si="3"/>
        <v>-79.42102467202352</v>
      </c>
      <c r="I41">
        <v>4</v>
      </c>
    </row>
    <row r="42" spans="1:20" x14ac:dyDescent="0.2">
      <c r="A42" s="26"/>
      <c r="B42" s="26"/>
      <c r="C42" s="26"/>
      <c r="D42" s="26"/>
      <c r="E42" s="26"/>
      <c r="F42" s="26"/>
      <c r="G42">
        <f t="shared" si="2"/>
        <v>-37.609797367786165</v>
      </c>
      <c r="H42">
        <f t="shared" si="3"/>
        <v>-84.157234998583277</v>
      </c>
      <c r="I42">
        <v>4.0999999999999996</v>
      </c>
    </row>
    <row r="43" spans="1:20" ht="14.25" customHeight="1" x14ac:dyDescent="0.2">
      <c r="A43" s="26"/>
      <c r="B43" s="26"/>
      <c r="C43" s="26"/>
      <c r="D43" s="26"/>
      <c r="E43" s="26"/>
      <c r="F43" s="26"/>
      <c r="G43">
        <f t="shared" si="2"/>
        <v>-39.255138338079526</v>
      </c>
      <c r="H43">
        <f t="shared" si="3"/>
        <v>-88.975073577168757</v>
      </c>
      <c r="I43">
        <v>4.2</v>
      </c>
      <c r="J43" s="26" t="s">
        <v>50</v>
      </c>
      <c r="K43" s="26"/>
      <c r="L43" s="26"/>
      <c r="M43" s="26"/>
      <c r="N43" s="26"/>
      <c r="O43" s="26"/>
      <c r="P43" s="26"/>
      <c r="Q43" s="26"/>
      <c r="R43" s="26"/>
      <c r="S43" s="26"/>
      <c r="T43" s="26"/>
    </row>
    <row r="44" spans="1:20" x14ac:dyDescent="0.2">
      <c r="A44" s="26"/>
      <c r="B44" s="26"/>
      <c r="C44" s="26"/>
      <c r="D44" s="26"/>
      <c r="E44" s="26"/>
      <c r="F44" s="26"/>
      <c r="G44">
        <f t="shared" si="2"/>
        <v>-40.921293592653072</v>
      </c>
      <c r="H44">
        <f t="shared" si="3"/>
        <v>-93.871969655124758</v>
      </c>
      <c r="I44">
        <v>4.3</v>
      </c>
      <c r="J44" s="26"/>
      <c r="K44" s="26"/>
      <c r="L44" s="26"/>
      <c r="M44" s="26"/>
      <c r="N44" s="26"/>
      <c r="O44" s="26"/>
      <c r="P44" s="26"/>
      <c r="Q44" s="26"/>
      <c r="R44" s="26"/>
      <c r="S44" s="26"/>
      <c r="T44" s="26"/>
    </row>
    <row r="45" spans="1:20" x14ac:dyDescent="0.2">
      <c r="A45" s="26"/>
      <c r="B45" s="26"/>
      <c r="C45" s="26"/>
      <c r="D45" s="26"/>
      <c r="E45" s="26"/>
      <c r="F45" s="26"/>
      <c r="G45">
        <f t="shared" si="2"/>
        <v>-42.607607618553239</v>
      </c>
      <c r="H45">
        <f t="shared" si="3"/>
        <v>-98.845433441583822</v>
      </c>
      <c r="I45">
        <v>4.4000000000000004</v>
      </c>
      <c r="J45" s="26"/>
      <c r="K45" s="26"/>
      <c r="L45" s="26"/>
      <c r="M45" s="26"/>
      <c r="N45" s="26"/>
      <c r="O45" s="26"/>
      <c r="P45" s="26"/>
      <c r="Q45" s="26"/>
      <c r="R45" s="26"/>
      <c r="S45" s="26"/>
      <c r="T45" s="26"/>
    </row>
    <row r="46" spans="1:20" x14ac:dyDescent="0.2">
      <c r="A46" s="26"/>
      <c r="B46" s="26"/>
      <c r="C46" s="26"/>
      <c r="D46" s="26"/>
      <c r="E46" s="26"/>
      <c r="F46" s="26"/>
      <c r="G46">
        <f t="shared" si="2"/>
        <v>-44.31344554716987</v>
      </c>
      <c r="H46">
        <f t="shared" si="3"/>
        <v>-103.8930535577029</v>
      </c>
      <c r="I46">
        <v>4.5</v>
      </c>
      <c r="J46" s="26"/>
      <c r="K46" s="26"/>
      <c r="L46" s="26"/>
      <c r="M46" s="26"/>
      <c r="N46" s="26"/>
      <c r="O46" s="26"/>
      <c r="P46" s="26"/>
      <c r="Q46" s="26"/>
      <c r="R46" s="26"/>
      <c r="S46" s="26"/>
      <c r="T46" s="26"/>
    </row>
    <row r="47" spans="1:20" x14ac:dyDescent="0.2">
      <c r="A47" s="26"/>
      <c r="B47" s="26"/>
      <c r="C47" s="26"/>
      <c r="D47" s="26"/>
      <c r="E47" s="26"/>
      <c r="F47" s="26"/>
      <c r="G47">
        <f t="shared" si="2"/>
        <v>-46.038192504075262</v>
      </c>
      <c r="H47">
        <f t="shared" si="3"/>
        <v>-109.01249456720041</v>
      </c>
      <c r="I47">
        <v>4.5999999999999996</v>
      </c>
      <c r="J47" s="26"/>
      <c r="K47" s="26"/>
      <c r="L47" s="26"/>
      <c r="M47" s="26"/>
      <c r="N47" s="26"/>
      <c r="O47" s="26"/>
      <c r="P47" s="26"/>
      <c r="Q47" s="26"/>
      <c r="R47" s="26"/>
      <c r="S47" s="26"/>
      <c r="T47" s="26"/>
    </row>
    <row r="48" spans="1:20" x14ac:dyDescent="0.2">
      <c r="A48" s="26"/>
      <c r="B48" s="26"/>
      <c r="C48" s="26"/>
      <c r="D48" s="26"/>
      <c r="E48" s="26"/>
      <c r="F48" s="26"/>
      <c r="G48">
        <f t="shared" si="2"/>
        <v>-47.781252979339072</v>
      </c>
      <c r="H48">
        <f t="shared" si="3"/>
        <v>-114.20149458466582</v>
      </c>
      <c r="I48">
        <v>4.7</v>
      </c>
      <c r="J48" s="26"/>
      <c r="K48" s="26"/>
      <c r="L48" s="26"/>
      <c r="M48" s="26"/>
      <c r="N48" s="26"/>
      <c r="O48" s="26"/>
      <c r="P48" s="26"/>
      <c r="Q48" s="26"/>
      <c r="R48" s="26"/>
      <c r="S48" s="26"/>
      <c r="T48" s="26"/>
    </row>
    <row r="49" spans="1:20" ht="14.25" customHeight="1" x14ac:dyDescent="0.2">
      <c r="A49" s="26"/>
      <c r="B49" s="26"/>
      <c r="C49" s="26"/>
      <c r="D49" s="26"/>
      <c r="E49" s="26"/>
      <c r="F49" s="26"/>
      <c r="G49">
        <f t="shared" si="2"/>
        <v>-49.542050217674003</v>
      </c>
      <c r="H49">
        <f t="shared" si="3"/>
        <v>-119.457862959191</v>
      </c>
      <c r="I49">
        <v>4.8</v>
      </c>
      <c r="J49" s="26"/>
      <c r="K49" s="26"/>
      <c r="L49" s="26"/>
      <c r="M49" s="26"/>
      <c r="N49" s="26"/>
      <c r="O49" s="26"/>
      <c r="P49" s="26"/>
      <c r="Q49" s="26"/>
      <c r="R49" s="26"/>
      <c r="S49" s="26"/>
      <c r="T49" s="26"/>
    </row>
    <row r="50" spans="1:20" x14ac:dyDescent="0.2">
      <c r="A50" s="26"/>
      <c r="B50" s="26"/>
      <c r="C50" s="26"/>
      <c r="D50" s="26"/>
      <c r="E50" s="26"/>
      <c r="F50" s="26"/>
      <c r="G50">
        <f t="shared" si="2"/>
        <v>-51.320025627788127</v>
      </c>
      <c r="H50">
        <f t="shared" si="3"/>
        <v>-124.77947803095248</v>
      </c>
      <c r="I50">
        <v>4.9000000000000004</v>
      </c>
      <c r="J50" s="18"/>
      <c r="K50" s="18"/>
      <c r="L50" s="18"/>
      <c r="M50" s="18"/>
      <c r="N50" s="18"/>
      <c r="O50" s="18"/>
      <c r="P50" s="18"/>
      <c r="Q50" s="18"/>
      <c r="R50" s="18"/>
      <c r="S50" s="18"/>
      <c r="T50" s="18"/>
    </row>
    <row r="51" spans="1:20" x14ac:dyDescent="0.2">
      <c r="G51">
        <f t="shared" si="2"/>
        <v>-53.114638210338434</v>
      </c>
      <c r="H51">
        <f t="shared" si="3"/>
        <v>-130.16428495844622</v>
      </c>
      <c r="I51">
        <v>5</v>
      </c>
      <c r="J51" s="18"/>
      <c r="K51" s="18"/>
      <c r="L51" s="18"/>
      <c r="M51" s="18"/>
      <c r="N51" s="18"/>
      <c r="O51" s="18"/>
      <c r="P51" s="18"/>
      <c r="Q51" s="18"/>
      <c r="R51" s="18"/>
      <c r="S51" s="18"/>
      <c r="T51" s="18"/>
    </row>
    <row r="52" spans="1:20" x14ac:dyDescent="0.2">
      <c r="A52" s="25" t="s">
        <v>77</v>
      </c>
      <c r="B52" s="25"/>
      <c r="C52" s="25"/>
      <c r="D52" s="25"/>
      <c r="E52" s="25"/>
      <c r="F52" s="25"/>
      <c r="G52">
        <f t="shared" si="2"/>
        <v>-54.925364003900413</v>
      </c>
      <c r="H52">
        <f t="shared" si="3"/>
        <v>-135.61029361415044</v>
      </c>
      <c r="I52">
        <v>5.0999999999999996</v>
      </c>
      <c r="J52" s="18"/>
      <c r="K52" s="18"/>
      <c r="L52" s="18"/>
      <c r="M52" s="18"/>
      <c r="N52" s="18"/>
      <c r="O52" s="18"/>
      <c r="P52" s="18"/>
      <c r="Q52" s="18"/>
      <c r="R52" s="18"/>
      <c r="S52" s="18"/>
      <c r="T52" s="18"/>
    </row>
    <row r="53" spans="1:20" x14ac:dyDescent="0.2">
      <c r="A53" s="25"/>
      <c r="B53" s="25"/>
      <c r="C53" s="25"/>
      <c r="D53" s="25"/>
      <c r="E53" s="25"/>
      <c r="F53" s="25"/>
      <c r="G53">
        <f t="shared" si="2"/>
        <v>-56.751695548385634</v>
      </c>
      <c r="H53">
        <f t="shared" si="3"/>
        <v>-141.11557654646109</v>
      </c>
      <c r="I53">
        <v>5.2</v>
      </c>
    </row>
    <row r="54" spans="1:20" x14ac:dyDescent="0.2">
      <c r="A54" s="25"/>
      <c r="B54" s="25"/>
      <c r="C54" s="25"/>
      <c r="D54" s="25"/>
      <c r="E54" s="25"/>
      <c r="F54" s="25"/>
    </row>
    <row r="55" spans="1:20" x14ac:dyDescent="0.2">
      <c r="A55" s="25" t="s">
        <v>76</v>
      </c>
      <c r="B55" s="25"/>
      <c r="C55" s="25"/>
      <c r="D55" s="25"/>
      <c r="E55" s="25"/>
      <c r="F55" s="25"/>
      <c r="G55" s="25"/>
      <c r="H55" s="25"/>
    </row>
    <row r="56" spans="1:20" x14ac:dyDescent="0.2">
      <c r="A56" s="25"/>
      <c r="B56" s="25"/>
      <c r="C56" s="25"/>
      <c r="D56" s="25"/>
      <c r="E56" s="25"/>
      <c r="F56" s="25"/>
      <c r="G56" s="25"/>
      <c r="H56" s="25"/>
    </row>
    <row r="57" spans="1:20" x14ac:dyDescent="0.2">
      <c r="A57" s="25"/>
      <c r="B57" s="25"/>
      <c r="C57" s="25"/>
      <c r="D57" s="25"/>
      <c r="E57" s="25"/>
      <c r="F57" s="25"/>
      <c r="G57" s="25"/>
      <c r="H57" s="25"/>
    </row>
    <row r="58" spans="1:20" x14ac:dyDescent="0.2">
      <c r="A58" s="25"/>
      <c r="B58" s="25"/>
      <c r="C58" s="25"/>
      <c r="D58" s="25"/>
      <c r="E58" s="25"/>
      <c r="F58" s="25"/>
      <c r="G58" s="25"/>
      <c r="H58" s="25"/>
    </row>
    <row r="59" spans="1:20" x14ac:dyDescent="0.2">
      <c r="A59" s="25"/>
      <c r="B59" s="25"/>
      <c r="C59" s="25"/>
      <c r="D59" s="25"/>
      <c r="E59" s="25"/>
      <c r="F59" s="25"/>
      <c r="G59" s="25"/>
      <c r="H59" s="25"/>
    </row>
    <row r="60" spans="1:20" x14ac:dyDescent="0.2">
      <c r="A60" s="25"/>
      <c r="B60" s="25"/>
      <c r="C60" s="25"/>
      <c r="D60" s="25"/>
      <c r="E60" s="25"/>
      <c r="F60" s="25"/>
      <c r="G60" s="25"/>
      <c r="H60" s="25"/>
    </row>
    <row r="61" spans="1:20" x14ac:dyDescent="0.2">
      <c r="A61" s="25"/>
      <c r="B61" s="25"/>
      <c r="C61" s="25"/>
      <c r="D61" s="25"/>
      <c r="E61" s="25"/>
      <c r="F61" s="25"/>
      <c r="G61" s="25"/>
      <c r="H61" s="25"/>
    </row>
    <row r="62" spans="1:20" x14ac:dyDescent="0.2">
      <c r="A62" s="25"/>
      <c r="B62" s="25"/>
      <c r="C62" s="25"/>
      <c r="D62" s="25"/>
      <c r="E62" s="25"/>
      <c r="F62" s="25"/>
      <c r="G62" s="25"/>
      <c r="H62" s="25"/>
    </row>
    <row r="64" spans="1:20" ht="14.25" customHeight="1" x14ac:dyDescent="0.2">
      <c r="A64" s="25" t="s">
        <v>59</v>
      </c>
      <c r="B64" s="25"/>
      <c r="C64" s="25"/>
      <c r="D64" s="25"/>
      <c r="E64" s="25"/>
      <c r="F64" s="25"/>
      <c r="G64" s="25"/>
      <c r="H64" s="25"/>
    </row>
    <row r="65" spans="1:12" x14ac:dyDescent="0.2">
      <c r="A65" s="25"/>
      <c r="B65" s="25"/>
      <c r="C65" s="25"/>
      <c r="D65" s="25"/>
      <c r="E65" s="25"/>
      <c r="F65" s="25"/>
      <c r="G65" s="25"/>
      <c r="H65" s="25"/>
    </row>
    <row r="66" spans="1:12" x14ac:dyDescent="0.2">
      <c r="A66" s="25"/>
      <c r="B66" s="25"/>
      <c r="C66" s="25"/>
      <c r="D66" s="25"/>
      <c r="E66" s="25"/>
      <c r="F66" s="25"/>
      <c r="G66" s="25"/>
      <c r="H66" s="25"/>
    </row>
    <row r="67" spans="1:12" x14ac:dyDescent="0.2">
      <c r="A67" s="25"/>
      <c r="B67" s="25"/>
      <c r="C67" s="25"/>
      <c r="D67" s="25"/>
      <c r="E67" s="25"/>
      <c r="F67" s="25"/>
      <c r="G67" s="25"/>
      <c r="H67" s="25"/>
    </row>
    <row r="68" spans="1:12" x14ac:dyDescent="0.2">
      <c r="A68" s="25"/>
      <c r="B68" s="25"/>
      <c r="C68" s="25"/>
      <c r="D68" s="25"/>
      <c r="E68" s="25"/>
      <c r="F68" s="25"/>
      <c r="G68" s="25"/>
      <c r="H68" s="25"/>
    </row>
    <row r="74" spans="1:12" ht="14.25" customHeight="1" x14ac:dyDescent="0.2"/>
    <row r="79" spans="1:12" x14ac:dyDescent="0.2">
      <c r="A79">
        <v>13.4</v>
      </c>
      <c r="B79">
        <v>13.4</v>
      </c>
      <c r="C79">
        <v>13.4</v>
      </c>
      <c r="D79">
        <v>13.5</v>
      </c>
      <c r="E79">
        <v>13.5</v>
      </c>
      <c r="F79">
        <v>13.7</v>
      </c>
      <c r="G79">
        <v>13.7</v>
      </c>
      <c r="H79">
        <v>1.3</v>
      </c>
      <c r="I79">
        <v>6.4</v>
      </c>
      <c r="J79">
        <v>6.6</v>
      </c>
      <c r="K79">
        <v>6.2</v>
      </c>
      <c r="L79">
        <v>17.2</v>
      </c>
    </row>
    <row r="80" spans="1:12" x14ac:dyDescent="0.2">
      <c r="A80">
        <v>3.4</v>
      </c>
      <c r="B80">
        <v>3.4</v>
      </c>
      <c r="C80">
        <v>3.4</v>
      </c>
      <c r="D80">
        <v>3.2</v>
      </c>
      <c r="E80">
        <v>3.2</v>
      </c>
      <c r="F80">
        <v>-5.4</v>
      </c>
      <c r="G80">
        <v>-5.4</v>
      </c>
      <c r="H80">
        <v>0.7</v>
      </c>
      <c r="I80">
        <v>-0.9</v>
      </c>
      <c r="J80">
        <v>-1.3</v>
      </c>
      <c r="K80">
        <v>-0.4</v>
      </c>
      <c r="L80">
        <v>-3.2</v>
      </c>
    </row>
    <row r="81" spans="1:12" x14ac:dyDescent="0.2">
      <c r="A81">
        <v>1.5</v>
      </c>
      <c r="B81">
        <v>2.1</v>
      </c>
      <c r="C81">
        <v>2.1</v>
      </c>
      <c r="D81">
        <v>1.8</v>
      </c>
      <c r="E81">
        <v>0.9</v>
      </c>
      <c r="F81">
        <v>-0.2</v>
      </c>
      <c r="G81">
        <v>2.2000000000000002</v>
      </c>
      <c r="H81">
        <v>2.1</v>
      </c>
      <c r="I81">
        <v>0.9</v>
      </c>
      <c r="J81">
        <v>0.5</v>
      </c>
      <c r="K81">
        <v>0.5</v>
      </c>
      <c r="L81">
        <v>0.4</v>
      </c>
    </row>
    <row r="82" spans="1:12" x14ac:dyDescent="0.2">
      <c r="A82">
        <v>69</v>
      </c>
      <c r="B82">
        <v>76</v>
      </c>
      <c r="C82">
        <v>63</v>
      </c>
      <c r="D82">
        <v>78</v>
      </c>
      <c r="E82">
        <v>78</v>
      </c>
      <c r="F82">
        <v>69</v>
      </c>
      <c r="G82">
        <v>63</v>
      </c>
      <c r="H82">
        <v>81</v>
      </c>
      <c r="I82">
        <v>57</v>
      </c>
      <c r="J82">
        <v>65</v>
      </c>
      <c r="K82">
        <v>80</v>
      </c>
      <c r="L82">
        <v>55</v>
      </c>
    </row>
    <row r="83" spans="1:12" x14ac:dyDescent="0.2">
      <c r="A83">
        <v>73</v>
      </c>
      <c r="B83">
        <v>84</v>
      </c>
      <c r="C83">
        <v>66</v>
      </c>
      <c r="D83">
        <v>92</v>
      </c>
      <c r="E83">
        <v>98</v>
      </c>
      <c r="F83">
        <v>73</v>
      </c>
      <c r="G83">
        <v>56</v>
      </c>
      <c r="H83">
        <v>27</v>
      </c>
      <c r="I83">
        <v>37</v>
      </c>
      <c r="J83">
        <v>43</v>
      </c>
      <c r="K83">
        <v>68</v>
      </c>
      <c r="L83">
        <v>65</v>
      </c>
    </row>
    <row r="84" spans="1:12" x14ac:dyDescent="0.2">
      <c r="A84">
        <v>70.55</v>
      </c>
      <c r="B84">
        <v>79.63</v>
      </c>
      <c r="C84">
        <v>63.65</v>
      </c>
      <c r="D84">
        <v>86.6</v>
      </c>
      <c r="E84">
        <v>93.2</v>
      </c>
      <c r="F84">
        <v>71.02</v>
      </c>
      <c r="G84">
        <v>53.04</v>
      </c>
      <c r="H84">
        <v>25.91</v>
      </c>
      <c r="I84">
        <v>36.53</v>
      </c>
      <c r="J84">
        <v>41.28</v>
      </c>
      <c r="K84">
        <v>64.62</v>
      </c>
      <c r="L84">
        <v>62.9</v>
      </c>
    </row>
  </sheetData>
  <dataConsolidate/>
  <mergeCells count="22">
    <mergeCell ref="A64:H68"/>
    <mergeCell ref="A35:D35"/>
    <mergeCell ref="A34:D34"/>
    <mergeCell ref="A30:D30"/>
    <mergeCell ref="A31:D31"/>
    <mergeCell ref="A38:F50"/>
    <mergeCell ref="C27:D27"/>
    <mergeCell ref="A15:F19"/>
    <mergeCell ref="J43:T49"/>
    <mergeCell ref="A55:H62"/>
    <mergeCell ref="A52:F54"/>
    <mergeCell ref="C26:D26"/>
    <mergeCell ref="C25:D25"/>
    <mergeCell ref="C22:D22"/>
    <mergeCell ref="C23:D23"/>
    <mergeCell ref="A36:D36"/>
    <mergeCell ref="A32:D32"/>
    <mergeCell ref="A33:D33"/>
    <mergeCell ref="A21:B21"/>
    <mergeCell ref="C28:D28"/>
    <mergeCell ref="C21:D21"/>
    <mergeCell ref="C24:D24"/>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2</vt:i4>
      </vt:variant>
    </vt:vector>
  </HeadingPairs>
  <TitlesOfParts>
    <vt:vector size="2" baseType="lpstr">
      <vt:lpstr>不可更改v0的kv算法 (2)</vt:lpstr>
      <vt:lpstr>不可更改v0的kv算法 (3)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谢尘竹</cp:lastModifiedBy>
  <dcterms:created xsi:type="dcterms:W3CDTF">2008-09-11T17:22:52Z</dcterms:created>
  <dcterms:modified xsi:type="dcterms:W3CDTF">2019-02-16T06:05:06Z</dcterms:modified>
</cp:coreProperties>
</file>